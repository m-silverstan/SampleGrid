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oogle Drive\Microplastic Filter\"/>
    </mc:Choice>
  </mc:AlternateContent>
  <xr:revisionPtr revIDLastSave="0" documentId="13_ncr:1_{5983D6C5-9B95-43F7-9ABB-CCDFA5FF203A}" xr6:coauthVersionLast="47" xr6:coauthVersionMax="47" xr10:uidLastSave="{00000000-0000-0000-0000-000000000000}"/>
  <bookViews>
    <workbookView xWindow="-108" yWindow="-108" windowWidth="23256" windowHeight="12576" xr2:uid="{92EEBE85-2E62-4CB6-A477-E7AB8BF4722C}"/>
  </bookViews>
  <sheets>
    <sheet name="Main" sheetId="1" r:id="rId1"/>
    <sheet name="Settings" sheetId="10" r:id="rId2"/>
    <sheet name="Data" sheetId="8" r:id="rId3"/>
  </sheets>
  <functionGroups builtInGroupCount="19"/>
  <definedNames>
    <definedName name="_xlnm._FilterDatabase" localSheetId="2" hidden="1">Data!$A$1:$AB$1</definedName>
    <definedName name="rngBotLeft" localSheetId="0">Main!$B$16</definedName>
    <definedName name="rngBotLeft" localSheetId="1">Settings!$B$16</definedName>
    <definedName name="rngCellSamp">Main!$S$3</definedName>
    <definedName name="rngCellSampRep">Main!$X$6</definedName>
    <definedName name="rngCol">Main!$V$17</definedName>
    <definedName name="rngCollDate" localSheetId="2">Data!$D$1</definedName>
    <definedName name="rngCollDate">Main!$AD$2</definedName>
    <definedName name="rngDataType" localSheetId="2">Data!$H$1</definedName>
    <definedName name="rngItem01">Main!$X$17</definedName>
    <definedName name="rngItem01Total">Main!$Y$14</definedName>
    <definedName name="rngItem02">Main!$Y$17</definedName>
    <definedName name="rngItem02Total">Main!$Z$14</definedName>
    <definedName name="rngLabelItem01">Main!$Y$8</definedName>
    <definedName name="rngLabelItem02">Main!$Z$8</definedName>
    <definedName name="rngLabelZone01">Main!$V$10</definedName>
    <definedName name="rngLabelZone02">Main!$V$11</definedName>
    <definedName name="rngLabelZone03">Main!$V$12</definedName>
    <definedName name="rngLabelZone04">Main!$V$13</definedName>
    <definedName name="rngParItem01Zone01">Main!$Y$10</definedName>
    <definedName name="rngParItem01Zone02">Main!$Y$11</definedName>
    <definedName name="rngParItem01Zone03">Main!$Y$12</definedName>
    <definedName name="rngParItem01Zone04">Main!$Y$13</definedName>
    <definedName name="rngParItem02Zone01">Main!$Z$10</definedName>
    <definedName name="rngParItem02Zone02">Main!$Z$11</definedName>
    <definedName name="rngParItem02Zone03">Main!$Z$12</definedName>
    <definedName name="rngParItem02Zone04">Main!$Z$13</definedName>
    <definedName name="rngParTotal">Data!$M$1</definedName>
    <definedName name="rngProcDate" localSheetId="2">Data!$F$1</definedName>
    <definedName name="rngProcDate">Main!$AD$4</definedName>
    <definedName name="rngRow">Main!$W$17</definedName>
    <definedName name="rngSampLoc" localSheetId="2">Data!$A$1</definedName>
    <definedName name="rngSampLoc">Main!$X$2</definedName>
    <definedName name="rngSampName" localSheetId="2">Data!$C$1</definedName>
    <definedName name="rngSampName">Main!$X$4</definedName>
    <definedName name="rngSampNum">Main!$U$17</definedName>
    <definedName name="rngSampType" localSheetId="2">Data!$B$1</definedName>
    <definedName name="rngSampType">Main!$X$3</definedName>
    <definedName name="rngSepStage" localSheetId="2">Data!$E$1</definedName>
    <definedName name="rngSepStage">Main!$AD$3</definedName>
    <definedName name="rngSq1" localSheetId="2">Data!$N$1</definedName>
    <definedName name="rngSqTotal">Data!$G$1</definedName>
    <definedName name="rngSqZone01">Data!$I$1</definedName>
    <definedName name="rngSqZone02">Data!$J$1</definedName>
    <definedName name="rngSqZone03">Data!$K$1</definedName>
    <definedName name="rngSqZone04">Data!$L$1</definedName>
    <definedName name="rngTotalSampZone01">Main!$X$10</definedName>
    <definedName name="rngTotalSampZone02">Main!$X$11</definedName>
    <definedName name="rngTotalSampZone03">Main!$X$12</definedName>
    <definedName name="rngTotalSampZone04">Main!$X$13</definedName>
    <definedName name="rngZone">Main!$Z$17</definedName>
    <definedName name="rngZone01" localSheetId="1">Settings!$S$5</definedName>
    <definedName name="rngZone02" localSheetId="1">Settings!$S$6</definedName>
    <definedName name="rngZone03" localSheetId="1">Settings!$S$7</definedName>
    <definedName name="rngZone04" localSheetId="1">Settings!$S$4</definedName>
    <definedName name="rngZoneWeight01">Settings!$T$5</definedName>
    <definedName name="rngZoneWeight02">Settings!$T$6</definedName>
    <definedName name="rngZoneWeight03">Settings!$T$7</definedName>
    <definedName name="rngZoneWeight04">Settings!$T$4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3" i="1" l="1"/>
  <c r="Y13" i="1"/>
  <c r="Z12" i="1"/>
  <c r="Y12" i="1"/>
  <c r="Z11" i="1"/>
  <c r="Y11" i="1"/>
  <c r="Z10" i="1"/>
  <c r="Y10" i="1"/>
  <c r="T8" i="10" l="1"/>
  <c r="Y14" i="1" l="1"/>
  <c r="Z14" i="1"/>
</calcChain>
</file>

<file path=xl/sharedStrings.xml><?xml version="1.0" encoding="utf-8"?>
<sst xmlns="http://schemas.openxmlformats.org/spreadsheetml/2006/main" count="357" uniqueCount="301">
  <si>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</si>
  <si>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</si>
  <si>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</si>
  <si>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</si>
  <si>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</si>
  <si>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</si>
  <si>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</si>
  <si>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</si>
  <si>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</si>
  <si>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</si>
  <si>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</si>
  <si>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</si>
  <si>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</si>
  <si>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</si>
  <si>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</si>
  <si>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</si>
  <si>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</si>
  <si>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</si>
  <si>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</si>
  <si>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</si>
  <si>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</si>
  <si>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</si>
  <si>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</si>
  <si>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</si>
  <si>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</si>
  <si>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</si>
  <si>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</si>
  <si>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</si>
  <si>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</si>
  <si>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</si>
  <si>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</si>
  <si>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</si>
  <si>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Cells to Sample</t>
  </si>
  <si>
    <t>Row</t>
  </si>
  <si>
    <t>Col</t>
  </si>
  <si>
    <t>TWP</t>
  </si>
  <si>
    <t>Bitumen</t>
  </si>
  <si>
    <t>#</t>
  </si>
  <si>
    <t>Sample Location</t>
  </si>
  <si>
    <t>Sample Type</t>
  </si>
  <si>
    <t>Collection Date</t>
  </si>
  <si>
    <t>Separation Stage</t>
  </si>
  <si>
    <t>Processing Date</t>
  </si>
  <si>
    <t>Data Type</t>
  </si>
  <si>
    <t>Sample Name</t>
  </si>
  <si>
    <t>Sq1</t>
  </si>
  <si>
    <t>Squares Counted</t>
  </si>
  <si>
    <t>Partial</t>
  </si>
  <si>
    <t>Center</t>
  </si>
  <si>
    <t>Middle</t>
  </si>
  <si>
    <t>Edge</t>
  </si>
  <si>
    <t>Zone</t>
  </si>
  <si>
    <t>Weighting</t>
  </si>
  <si>
    <t>Squares</t>
  </si>
  <si>
    <t>Average</t>
  </si>
  <si>
    <t>Total</t>
  </si>
  <si>
    <t>Sq Counted</t>
  </si>
  <si>
    <t>Cent.Sq</t>
  </si>
  <si>
    <t>Mid.Sq</t>
  </si>
  <si>
    <t>Edge.Sq</t>
  </si>
  <si>
    <t>Part.Sq</t>
  </si>
  <si>
    <t>C</t>
  </si>
  <si>
    <t>M</t>
  </si>
  <si>
    <t>E</t>
  </si>
  <si>
    <t>Location</t>
  </si>
  <si>
    <t>Sq2</t>
  </si>
  <si>
    <t>Sq3</t>
  </si>
  <si>
    <t>Sq4</t>
  </si>
  <si>
    <t>Sq5</t>
  </si>
  <si>
    <t>Sq6</t>
  </si>
  <si>
    <t>Sq7</t>
  </si>
  <si>
    <t>Sq8</t>
  </si>
  <si>
    <t>Sq9</t>
  </si>
  <si>
    <t>Sq10</t>
  </si>
  <si>
    <t>Sq11</t>
  </si>
  <si>
    <t>Sq12</t>
  </si>
  <si>
    <t>Sq13</t>
  </si>
  <si>
    <t>Sq14</t>
  </si>
  <si>
    <t>Sq15</t>
  </si>
  <si>
    <t>Sq16</t>
  </si>
  <si>
    <t>Sq17</t>
  </si>
  <si>
    <t>Sq18</t>
  </si>
  <si>
    <t>Sq19</t>
  </si>
  <si>
    <t>Sq20</t>
  </si>
  <si>
    <t>R09C11ZC</t>
  </si>
  <si>
    <t>R11C10ZC</t>
  </si>
  <si>
    <t>R05C14ZM</t>
  </si>
  <si>
    <t>R07C05ZM</t>
  </si>
  <si>
    <t>R09C12ZM</t>
  </si>
  <si>
    <t>R08C02ZE</t>
  </si>
  <si>
    <t>R04C12ZM</t>
  </si>
  <si>
    <t>R06C04ZM</t>
  </si>
  <si>
    <t>R06C05ZM</t>
  </si>
  <si>
    <t>R06C06ZC</t>
  </si>
  <si>
    <t>R06C08ZC</t>
  </si>
  <si>
    <t>R05C12ZM</t>
  </si>
  <si>
    <t>R10C11ZC</t>
  </si>
  <si>
    <t>R10C10ZC</t>
  </si>
  <si>
    <t>R12C07ZM</t>
  </si>
  <si>
    <t>R13C06ZM</t>
  </si>
  <si>
    <t>R14C04ZM</t>
  </si>
  <si>
    <t>R11C03ZM</t>
  </si>
  <si>
    <t>R10C03ZM</t>
  </si>
  <si>
    <t>R15C07ZE</t>
  </si>
  <si>
    <t>Sq21</t>
  </si>
  <si>
    <t>Sq22</t>
  </si>
  <si>
    <t>Sq23</t>
  </si>
  <si>
    <t>Sq24</t>
  </si>
  <si>
    <t>Sq25</t>
  </si>
  <si>
    <t>Sq26</t>
  </si>
  <si>
    <t>Sq27</t>
  </si>
  <si>
    <t>Sq28</t>
  </si>
  <si>
    <t>Sq29</t>
  </si>
  <si>
    <t>Sq30</t>
  </si>
  <si>
    <t>Sq31</t>
  </si>
  <si>
    <t>Sq32</t>
  </si>
  <si>
    <t>Sq33</t>
  </si>
  <si>
    <t>Sq34</t>
  </si>
  <si>
    <t>Sq35</t>
  </si>
  <si>
    <t>Sq36</t>
  </si>
  <si>
    <t>Sq37</t>
  </si>
  <si>
    <t>Sq38</t>
  </si>
  <si>
    <t>Sq39</t>
  </si>
  <si>
    <t>Sq40</t>
  </si>
  <si>
    <t>Sq41</t>
  </si>
  <si>
    <t>Sq42</t>
  </si>
  <si>
    <t>Sq43</t>
  </si>
  <si>
    <t>Sq44</t>
  </si>
  <si>
    <t>Sq45</t>
  </si>
  <si>
    <t>Sq46</t>
  </si>
  <si>
    <t>Sq47</t>
  </si>
  <si>
    <t>Sq48</t>
  </si>
  <si>
    <t>Sq49</t>
  </si>
  <si>
    <t>Sq50</t>
  </si>
  <si>
    <t>Sq51</t>
  </si>
  <si>
    <t>Sq52</t>
  </si>
  <si>
    <t>Sq53</t>
  </si>
  <si>
    <t>Sq54</t>
  </si>
  <si>
    <t>Sq55</t>
  </si>
  <si>
    <t>Sq56</t>
  </si>
  <si>
    <t>Sq57</t>
  </si>
  <si>
    <t>Sq58</t>
  </si>
  <si>
    <t>Sq59</t>
  </si>
  <si>
    <t>Sq60</t>
  </si>
  <si>
    <t>Sq61</t>
  </si>
  <si>
    <t>Sq62</t>
  </si>
  <si>
    <t>Sq63</t>
  </si>
  <si>
    <t>Sq64</t>
  </si>
  <si>
    <t>Sq65</t>
  </si>
  <si>
    <t>Sq66</t>
  </si>
  <si>
    <t>Sq67</t>
  </si>
  <si>
    <t>Sq68</t>
  </si>
  <si>
    <t>Sq69</t>
  </si>
  <si>
    <t>Sq70</t>
  </si>
  <si>
    <t>Sq71</t>
  </si>
  <si>
    <t>Sq72</t>
  </si>
  <si>
    <t>Sq73</t>
  </si>
  <si>
    <t>Sq74</t>
  </si>
  <si>
    <t>Sq75</t>
  </si>
  <si>
    <t>Sq76</t>
  </si>
  <si>
    <t>Sq77</t>
  </si>
  <si>
    <t>Sq78</t>
  </si>
  <si>
    <t>Sq79</t>
  </si>
  <si>
    <t>Sq80</t>
  </si>
  <si>
    <t>Sq81</t>
  </si>
  <si>
    <t>Sq82</t>
  </si>
  <si>
    <t>Sq83</t>
  </si>
  <si>
    <t>Sq84</t>
  </si>
  <si>
    <t>Sq85</t>
  </si>
  <si>
    <t>Sq86</t>
  </si>
  <si>
    <t>Sq87</t>
  </si>
  <si>
    <t>Sq88</t>
  </si>
  <si>
    <t>Sq89</t>
  </si>
  <si>
    <t>Sq90</t>
  </si>
  <si>
    <t>Sq91</t>
  </si>
  <si>
    <t>Sq92</t>
  </si>
  <si>
    <t>Sq93</t>
  </si>
  <si>
    <t>Sq94</t>
  </si>
  <si>
    <t>Sq95</t>
  </si>
  <si>
    <t>Sq96</t>
  </si>
  <si>
    <t>Sq97</t>
  </si>
  <si>
    <t>Sq98</t>
  </si>
  <si>
    <t>Sq99</t>
  </si>
  <si>
    <t>Sq100</t>
  </si>
  <si>
    <t>Sq101</t>
  </si>
  <si>
    <t>Sq102</t>
  </si>
  <si>
    <t>Sq103</t>
  </si>
  <si>
    <t>Sq104</t>
  </si>
  <si>
    <t>Sq105</t>
  </si>
  <si>
    <t>Sq106</t>
  </si>
  <si>
    <t>Sq107</t>
  </si>
  <si>
    <t>Sq108</t>
  </si>
  <si>
    <t>Sq109</t>
  </si>
  <si>
    <t>Sq110</t>
  </si>
  <si>
    <t>Sq111</t>
  </si>
  <si>
    <t>Sq112</t>
  </si>
  <si>
    <t>Sq113</t>
  </si>
  <si>
    <t>Sq114</t>
  </si>
  <si>
    <t>Sq115</t>
  </si>
  <si>
    <t>Sq116</t>
  </si>
  <si>
    <t>Sq117</t>
  </si>
  <si>
    <t>Sq118</t>
  </si>
  <si>
    <t>Sq119</t>
  </si>
  <si>
    <t>Sq120</t>
  </si>
  <si>
    <t>Sq121</t>
  </si>
  <si>
    <t>Sq122</t>
  </si>
  <si>
    <t>Sq123</t>
  </si>
  <si>
    <t>Sq124</t>
  </si>
  <si>
    <t>Sq125</t>
  </si>
  <si>
    <t>Sq126</t>
  </si>
  <si>
    <t>Sq127</t>
  </si>
  <si>
    <t>Sq128</t>
  </si>
  <si>
    <t>Sq129</t>
  </si>
  <si>
    <t>Sq130</t>
  </si>
  <si>
    <t>Sq131</t>
  </si>
  <si>
    <t>Sq132</t>
  </si>
  <si>
    <t>Sq133</t>
  </si>
  <si>
    <t>Sq134</t>
  </si>
  <si>
    <t>Sq135</t>
  </si>
  <si>
    <t>Sq136</t>
  </si>
  <si>
    <t>Sq137</t>
  </si>
  <si>
    <t>Sq138</t>
  </si>
  <si>
    <t>Sq139</t>
  </si>
  <si>
    <t>Sq140</t>
  </si>
  <si>
    <t>Sq141</t>
  </si>
  <si>
    <t>Sq142</t>
  </si>
  <si>
    <t>Sq143</t>
  </si>
  <si>
    <t>Sq144</t>
  </si>
  <si>
    <t>Sq145</t>
  </si>
  <si>
    <t>Sq146</t>
  </si>
  <si>
    <t>Sq147</t>
  </si>
  <si>
    <t>Sq148</t>
  </si>
  <si>
    <t>Sq149</t>
  </si>
  <si>
    <t>Sq150</t>
  </si>
  <si>
    <t>Sq151</t>
  </si>
  <si>
    <t>Sq152</t>
  </si>
  <si>
    <t>Sq153</t>
  </si>
  <si>
    <t>Sq154</t>
  </si>
  <si>
    <t>Sq155</t>
  </si>
  <si>
    <t>Sq156</t>
  </si>
  <si>
    <t>Sq157</t>
  </si>
  <si>
    <t>Sq158</t>
  </si>
  <si>
    <t>Sq159</t>
  </si>
  <si>
    <t>Sq160</t>
  </si>
  <si>
    <t>Sq161</t>
  </si>
  <si>
    <t>Sq162</t>
  </si>
  <si>
    <t>Sq163</t>
  </si>
  <si>
    <t>Sq164</t>
  </si>
  <si>
    <t>Sq165</t>
  </si>
  <si>
    <t>Sq166</t>
  </si>
  <si>
    <t>Sq167</t>
  </si>
  <si>
    <t>Sq168</t>
  </si>
  <si>
    <t>Sq169</t>
  </si>
  <si>
    <t>Sq170</t>
  </si>
  <si>
    <t>Sq171</t>
  </si>
  <si>
    <t>Sq172</t>
  </si>
  <si>
    <t>Sq173</t>
  </si>
  <si>
    <t>Sq174</t>
  </si>
  <si>
    <t>Sq175</t>
  </si>
  <si>
    <t>Sq176</t>
  </si>
  <si>
    <t>Sq177</t>
  </si>
  <si>
    <t>Sq178</t>
  </si>
  <si>
    <t>Sq179</t>
  </si>
  <si>
    <t>Sq180</t>
  </si>
  <si>
    <t>Sq181</t>
  </si>
  <si>
    <t>Sq182</t>
  </si>
  <si>
    <t>Sq183</t>
  </si>
  <si>
    <t>Sq184</t>
  </si>
  <si>
    <t>Sq185</t>
  </si>
  <si>
    <t>Sq186</t>
  </si>
  <si>
    <t>Sq187</t>
  </si>
  <si>
    <t>Sq188</t>
  </si>
  <si>
    <t>Sq189</t>
  </si>
  <si>
    <t>Sq190</t>
  </si>
  <si>
    <t>Sq191</t>
  </si>
  <si>
    <t>Sq192</t>
  </si>
  <si>
    <t>Sq193</t>
  </si>
  <si>
    <t>Sq194</t>
  </si>
  <si>
    <t>Sq195</t>
  </si>
  <si>
    <t>Sq196</t>
  </si>
  <si>
    <t>Sq197</t>
  </si>
  <si>
    <t>Sq198</t>
  </si>
  <si>
    <t>Sq199</t>
  </si>
  <si>
    <t>Sq200</t>
  </si>
  <si>
    <t>Sq201</t>
  </si>
  <si>
    <t>Sq202</t>
  </si>
  <si>
    <t>Sq203</t>
  </si>
  <si>
    <t>Sq204</t>
  </si>
  <si>
    <t>Sq205</t>
  </si>
  <si>
    <t>Sq206</t>
  </si>
  <si>
    <t>Sq207</t>
  </si>
  <si>
    <t>Sq208</t>
  </si>
  <si>
    <t>Sq209</t>
  </si>
  <si>
    <t>Sq210</t>
  </si>
  <si>
    <t>Sq211</t>
  </si>
  <si>
    <t>Sq212</t>
  </si>
  <si>
    <t>Sq213</t>
  </si>
  <si>
    <t>Sq214</t>
  </si>
  <si>
    <t>Sq215</t>
  </si>
  <si>
    <t>Sq216</t>
  </si>
  <si>
    <t>Sq217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</si>
</sst>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472C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 indent="1"/>
    </xf>
    <xf numFmtId="0" fontId="1" fillId="2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/>
    <xf numFmtId="0" fontId="2" fillId="3" borderId="0" xfId="0" applyFont="1" applyFill="1" applyAlignment="1">
      <alignment horizontal="right" vertical="center" indent="1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4" borderId="0" xfId="0" applyFont="1" applyFill="1"/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0" fontId="0" fillId="5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5" borderId="1" xfId="0" applyFont="1" applyFill="1" applyBorder="1" applyAlignment="1">
      <alignment horizontal="center" vertical="center" shrinkToFit="1"/>
    </xf>
    <xf numFmtId="0" fontId="0" fillId="2" borderId="1" xfId="0" applyFont="1" applyFill="1" applyBorder="1" applyAlignment="1">
      <alignment horizontal="center" vertical="center" shrinkToFit="1"/>
    </xf>
    <xf numFmtId="0" fontId="0" fillId="5" borderId="2" xfId="0" applyFont="1" applyFill="1" applyBorder="1" applyAlignment="1">
      <alignment horizontal="center" vertical="center" shrinkToFit="1"/>
    </xf>
    <xf numFmtId="0" fontId="0" fillId="6" borderId="2" xfId="0" applyFont="1" applyFill="1" applyBorder="1" applyAlignment="1">
      <alignment horizontal="center" vertical="center" shrinkToFit="1"/>
    </xf>
    <xf numFmtId="0" fontId="0" fillId="6" borderId="1" xfId="0" applyFont="1" applyFill="1" applyBorder="1" applyAlignment="1">
      <alignment horizontal="center" vertical="center" shrinkToFit="1"/>
    </xf>
    <xf numFmtId="0" fontId="0" fillId="2" borderId="3" xfId="0" applyFont="1" applyFill="1" applyBorder="1" applyAlignment="1">
      <alignment horizontal="center" vertical="center" shrinkToFit="1"/>
    </xf>
    <xf numFmtId="0" fontId="0" fillId="6" borderId="3" xfId="0" applyFont="1" applyFill="1" applyBorder="1" applyAlignment="1">
      <alignment horizontal="center" vertical="center" shrinkToFit="1"/>
    </xf>
    <xf numFmtId="0" fontId="0" fillId="5" borderId="3" xfId="0" applyFont="1" applyFill="1" applyBorder="1" applyAlignment="1">
      <alignment horizontal="center" vertical="center" shrinkToFit="1"/>
    </xf>
    <xf numFmtId="0" fontId="1" fillId="0" borderId="0" xfId="0" applyFont="1" applyBorder="1"/>
    <xf numFmtId="9" fontId="1" fillId="0" borderId="1" xfId="1" applyFont="1" applyBorder="1" applyAlignment="1">
      <alignment horizontal="center" vertical="center"/>
    </xf>
    <xf numFmtId="9" fontId="1" fillId="8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Font="1" applyFill="1"/>
    <xf numFmtId="0" fontId="1" fillId="0" borderId="7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Fill="1" applyBorder="1"/>
    <xf numFmtId="0" fontId="0" fillId="9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7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94793</xdr:colOff>
      <xdr:row>0</xdr:row>
      <xdr:rowOff>76202</xdr:rowOff>
    </xdr:from>
    <xdr:to>
      <xdr:col>16</xdr:col>
      <xdr:colOff>243839</xdr:colOff>
      <xdr:row>15</xdr:row>
      <xdr:rowOff>227731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CB82548-845F-43A2-AE04-A822FA3D295D}"/>
            </a:ext>
          </a:extLst>
        </xdr:cNvPr>
        <xdr:cNvSpPr/>
      </xdr:nvSpPr>
      <xdr:spPr>
        <a:xfrm>
          <a:off x="704393" y="76202"/>
          <a:ext cx="4149546" cy="4152029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6461</xdr:colOff>
      <xdr:row>5</xdr:row>
      <xdr:rowOff>74874</xdr:rowOff>
    </xdr:from>
    <xdr:to>
      <xdr:col>19</xdr:col>
      <xdr:colOff>97569</xdr:colOff>
      <xdr:row>6</xdr:row>
      <xdr:rowOff>112974</xdr:rowOff>
    </xdr:to>
    <xdr:sp macro="[0]!runRandomSamp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1C3685-43BE-4F2D-9C72-2B1376F6C945}"/>
            </a:ext>
          </a:extLst>
        </xdr:cNvPr>
        <xdr:cNvSpPr/>
      </xdr:nvSpPr>
      <xdr:spPr>
        <a:xfrm>
          <a:off x="5089001" y="1941774"/>
          <a:ext cx="1356028" cy="304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Random</a:t>
          </a:r>
          <a:r>
            <a:rPr lang="en-US" sz="1200" baseline="0"/>
            <a:t> Sample</a:t>
          </a:r>
          <a:endParaRPr lang="en-US" sz="1200"/>
        </a:p>
      </xdr:txBody>
    </xdr:sp>
    <xdr:clientData/>
  </xdr:twoCellAnchor>
  <xdr:twoCellAnchor>
    <xdr:from>
      <xdr:col>18</xdr:col>
      <xdr:colOff>17725</xdr:colOff>
      <xdr:row>11</xdr:row>
      <xdr:rowOff>18553</xdr:rowOff>
    </xdr:from>
    <xdr:to>
      <xdr:col>19</xdr:col>
      <xdr:colOff>116785</xdr:colOff>
      <xdr:row>12</xdr:row>
      <xdr:rowOff>56652</xdr:rowOff>
    </xdr:to>
    <xdr:sp macro="[0]!clearSampleInf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C0BFA10-5333-4D57-8B49-4690FACEC98F}"/>
            </a:ext>
          </a:extLst>
        </xdr:cNvPr>
        <xdr:cNvSpPr/>
      </xdr:nvSpPr>
      <xdr:spPr>
        <a:xfrm>
          <a:off x="5100265" y="3485653"/>
          <a:ext cx="1363980" cy="3047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Clear Sample Info</a:t>
          </a:r>
        </a:p>
      </xdr:txBody>
    </xdr:sp>
    <xdr:clientData/>
  </xdr:twoCellAnchor>
  <xdr:twoCellAnchor>
    <xdr:from>
      <xdr:col>22</xdr:col>
      <xdr:colOff>184868</xdr:colOff>
      <xdr:row>14</xdr:row>
      <xdr:rowOff>82494</xdr:rowOff>
    </xdr:from>
    <xdr:to>
      <xdr:col>26</xdr:col>
      <xdr:colOff>30480</xdr:colOff>
      <xdr:row>15</xdr:row>
      <xdr:rowOff>120594</xdr:rowOff>
    </xdr:to>
    <xdr:sp macro="[0]!NoisySave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D921332-030B-4C91-BF25-186DFC91E409}"/>
            </a:ext>
          </a:extLst>
        </xdr:cNvPr>
        <xdr:cNvSpPr/>
      </xdr:nvSpPr>
      <xdr:spPr>
        <a:xfrm>
          <a:off x="8010608" y="3816294"/>
          <a:ext cx="2131612" cy="3048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Save</a:t>
          </a:r>
        </a:p>
      </xdr:txBody>
    </xdr:sp>
    <xdr:clientData/>
  </xdr:twoCellAnchor>
  <xdr:twoCellAnchor>
    <xdr:from>
      <xdr:col>18</xdr:col>
      <xdr:colOff>10105</xdr:colOff>
      <xdr:row>9</xdr:row>
      <xdr:rowOff>216673</xdr:rowOff>
    </xdr:from>
    <xdr:to>
      <xdr:col>19</xdr:col>
      <xdr:colOff>109165</xdr:colOff>
      <xdr:row>10</xdr:row>
      <xdr:rowOff>254772</xdr:rowOff>
    </xdr:to>
    <xdr:sp macro="[0]!clearCell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A65246B-B4F5-477C-8B84-0F7327911BBC}"/>
            </a:ext>
          </a:extLst>
        </xdr:cNvPr>
        <xdr:cNvSpPr/>
      </xdr:nvSpPr>
      <xdr:spPr>
        <a:xfrm>
          <a:off x="5092645" y="3150373"/>
          <a:ext cx="1363980" cy="3047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Clear</a:t>
          </a:r>
        </a:p>
      </xdr:txBody>
    </xdr:sp>
    <xdr:clientData/>
  </xdr:twoCellAnchor>
  <xdr:twoCellAnchor>
    <xdr:from>
      <xdr:col>18</xdr:col>
      <xdr:colOff>7620</xdr:colOff>
      <xdr:row>6</xdr:row>
      <xdr:rowOff>137160</xdr:rowOff>
    </xdr:from>
    <xdr:to>
      <xdr:col>19</xdr:col>
      <xdr:colOff>98728</xdr:colOff>
      <xdr:row>7</xdr:row>
      <xdr:rowOff>175260</xdr:rowOff>
    </xdr:to>
    <xdr:sp macro="[0]!Sampler.runAllSquar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6769148-8CB8-439A-BFC5-32CC6BCFBED5}"/>
            </a:ext>
          </a:extLst>
        </xdr:cNvPr>
        <xdr:cNvSpPr/>
      </xdr:nvSpPr>
      <xdr:spPr>
        <a:xfrm>
          <a:off x="5090160" y="2270760"/>
          <a:ext cx="1356028" cy="304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Sample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3353</xdr:colOff>
      <xdr:row>0</xdr:row>
      <xdr:rowOff>76202</xdr:rowOff>
    </xdr:from>
    <xdr:to>
      <xdr:col>16</xdr:col>
      <xdr:colOff>152399</xdr:colOff>
      <xdr:row>15</xdr:row>
      <xdr:rowOff>227731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A17412C-AF98-494A-B564-6426B5836BFC}"/>
            </a:ext>
          </a:extLst>
        </xdr:cNvPr>
        <xdr:cNvSpPr/>
      </xdr:nvSpPr>
      <xdr:spPr>
        <a:xfrm>
          <a:off x="612953" y="76202"/>
          <a:ext cx="4124698" cy="4127181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FABFD-312C-4221-8409-82BB4B4906F0}">
  <sheetPr codeName="wsMain"/>
  <dimension ref="A1:BJ234"/>
  <sheetViews>
    <sheetView showGridLines="0" tabSelected="1" zoomScaleNormal="100" workbookViewId="0">
      <selection activeCell="X6" sqref="X6:Y6"/>
    </sheetView>
  </sheetViews>
  <sheetFormatPr defaultRowHeight="13.8" x14ac:dyDescent="0.25"/>
  <cols>
    <col min="1" max="1" width="8.88671875" style="1"/>
    <col min="2" max="17" width="3.88671875" style="1" customWidth="1"/>
    <col min="18" max="18" width="3" style="1" customWidth="1"/>
    <col min="19" max="19" width="18.44140625" style="1" customWidth="1"/>
    <col min="20" max="20" width="8.88671875" style="1" customWidth="1"/>
    <col min="21" max="23" width="6.33203125" style="10" customWidth="1"/>
    <col min="24" max="25" width="8.88671875" style="10"/>
    <col min="26" max="26" width="9.21875" style="1" bestFit="1" customWidth="1"/>
    <col min="27" max="28" width="8.88671875" style="1"/>
    <col min="29" max="29" width="0.109375" style="1" customWidth="1"/>
    <col min="30" max="16384" width="8.88671875" style="1"/>
  </cols>
  <sheetData>
    <row r="1" spans="1:62" ht="21" customHeight="1" x14ac:dyDescent="0.25">
      <c r="A1" s="4" t="s">
        <v>15</v>
      </c>
      <c r="B1" s="11"/>
      <c r="C1" s="11"/>
      <c r="D1" s="11"/>
      <c r="E1" s="11"/>
      <c r="F1" s="32"/>
      <c r="G1" s="32"/>
      <c r="H1" s="32"/>
      <c r="I1" s="32"/>
      <c r="J1" s="32"/>
      <c r="K1" s="32"/>
      <c r="L1" s="32"/>
      <c r="M1" s="36"/>
      <c r="N1" s="11"/>
      <c r="O1" s="11"/>
      <c r="P1" s="11"/>
      <c r="Q1" s="11"/>
      <c r="R1" s="7"/>
      <c r="U1" s="1"/>
      <c r="V1" s="1"/>
      <c r="W1" s="1"/>
      <c r="X1" s="1"/>
      <c r="Y1" s="1"/>
      <c r="BJ1" s="13"/>
    </row>
    <row r="2" spans="1:62" ht="21" customHeight="1" x14ac:dyDescent="0.25">
      <c r="A2" s="4" t="s">
        <v>14</v>
      </c>
      <c r="B2" s="11"/>
      <c r="C2" s="11"/>
      <c r="D2" s="11"/>
      <c r="E2" s="32"/>
      <c r="F2" s="32"/>
      <c r="G2" s="32"/>
      <c r="H2" s="32"/>
      <c r="I2" s="32"/>
      <c r="J2" s="47">
        <v>8</v>
      </c>
      <c r="K2" s="32"/>
      <c r="L2" s="32"/>
      <c r="M2" s="32"/>
      <c r="N2" s="32"/>
      <c r="O2" s="11"/>
      <c r="P2" s="11"/>
      <c r="Q2" s="11"/>
      <c r="R2" s="7"/>
      <c r="S2" s="5" t="s">
        <v>32</v>
      </c>
      <c r="U2" s="15" t="s">
        <v>38</v>
      </c>
      <c r="V2" s="15"/>
      <c r="W2" s="15"/>
      <c r="X2" s="55"/>
      <c r="Y2" s="55"/>
      <c r="AA2" s="15" t="s">
        <v>40</v>
      </c>
      <c r="AB2" s="16"/>
      <c r="AC2" s="16"/>
      <c r="AD2" s="55"/>
      <c r="AE2" s="55"/>
      <c r="BJ2" s="13"/>
    </row>
    <row r="3" spans="1:62" ht="21" customHeight="1" x14ac:dyDescent="0.25">
      <c r="A3" s="4" t="s">
        <v>13</v>
      </c>
      <c r="B3" s="11"/>
      <c r="C3" s="34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11"/>
      <c r="Q3" s="11"/>
      <c r="R3" s="7"/>
      <c r="S3" s="2">
        <v>10</v>
      </c>
      <c r="U3" s="15" t="s">
        <v>39</v>
      </c>
      <c r="V3" s="16"/>
      <c r="W3" s="16"/>
      <c r="X3" s="55"/>
      <c r="Y3" s="55"/>
      <c r="AA3" s="15" t="s">
        <v>41</v>
      </c>
      <c r="AB3" s="16"/>
      <c r="AC3" s="16"/>
      <c r="AD3" s="53"/>
      <c r="AE3" s="54"/>
      <c r="BJ3" s="13"/>
    </row>
    <row r="4" spans="1:62" ht="21" customHeight="1" x14ac:dyDescent="0.25">
      <c r="A4" s="4" t="s">
        <v>12</v>
      </c>
      <c r="B4" s="1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5"/>
      <c r="Q4" s="11"/>
      <c r="R4" s="7"/>
      <c r="U4" s="14" t="s">
        <v>44</v>
      </c>
      <c r="V4" s="14"/>
      <c r="W4" s="14"/>
      <c r="X4" s="56"/>
      <c r="Y4" s="56"/>
      <c r="AA4" s="15" t="s">
        <v>42</v>
      </c>
      <c r="AB4" s="16"/>
      <c r="AC4" s="16"/>
      <c r="AD4" s="53"/>
      <c r="AE4" s="54"/>
      <c r="BJ4" s="13"/>
    </row>
    <row r="5" spans="1:62" ht="21" customHeight="1" x14ac:dyDescent="0.25">
      <c r="A5" s="4" t="s">
        <v>11</v>
      </c>
      <c r="B5" s="32"/>
      <c r="C5" s="32"/>
      <c r="D5" s="32"/>
      <c r="E5" s="32"/>
      <c r="F5" s="47">
        <v>9</v>
      </c>
      <c r="G5" s="32"/>
      <c r="H5" s="32"/>
      <c r="I5" s="32"/>
      <c r="J5" s="32"/>
      <c r="K5" s="47">
        <v>7</v>
      </c>
      <c r="L5" s="32"/>
      <c r="M5" s="32"/>
      <c r="N5" s="32"/>
      <c r="O5" s="32"/>
      <c r="P5" s="32"/>
      <c r="Q5" s="11"/>
      <c r="R5" s="7"/>
    </row>
    <row r="6" spans="1:62" ht="21" customHeight="1" x14ac:dyDescent="0.25">
      <c r="A6" s="4" t="s">
        <v>10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7"/>
      <c r="U6" s="45" t="s">
        <v>46</v>
      </c>
      <c r="W6" s="45"/>
      <c r="X6" s="56">
        <v>10</v>
      </c>
      <c r="Y6" s="56"/>
    </row>
    <row r="7" spans="1:62" ht="21" customHeight="1" x14ac:dyDescent="0.25">
      <c r="A7" s="4" t="s">
        <v>9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47">
        <v>6</v>
      </c>
      <c r="N7" s="32"/>
      <c r="O7" s="32"/>
      <c r="P7" s="32"/>
      <c r="Q7" s="32"/>
      <c r="R7" s="7"/>
    </row>
    <row r="8" spans="1:62" ht="21" customHeight="1" x14ac:dyDescent="0.25">
      <c r="A8" s="4" t="s">
        <v>8</v>
      </c>
      <c r="B8" s="32"/>
      <c r="C8" s="32"/>
      <c r="D8" s="32"/>
      <c r="E8" s="32"/>
      <c r="F8" s="32"/>
      <c r="G8" s="32"/>
      <c r="H8" s="32"/>
      <c r="I8" s="32"/>
      <c r="J8" s="32"/>
      <c r="K8" s="47">
        <v>5</v>
      </c>
      <c r="L8" s="32"/>
      <c r="M8" s="32"/>
      <c r="N8" s="32"/>
      <c r="O8" s="32"/>
      <c r="P8" s="32"/>
      <c r="Q8" s="32"/>
      <c r="R8" s="7"/>
      <c r="V8" s="1"/>
      <c r="W8" s="1"/>
      <c r="Y8" s="41" t="s">
        <v>35</v>
      </c>
      <c r="Z8" s="42" t="s">
        <v>36</v>
      </c>
    </row>
    <row r="9" spans="1:62" ht="21" customHeight="1" x14ac:dyDescent="0.25">
      <c r="A9" s="4" t="s">
        <v>7</v>
      </c>
      <c r="B9" s="32"/>
      <c r="C9" s="32"/>
      <c r="D9" s="32"/>
      <c r="E9" s="32"/>
      <c r="F9" s="32"/>
      <c r="G9" s="32"/>
      <c r="H9" s="47">
        <v>10</v>
      </c>
      <c r="I9" s="32"/>
      <c r="J9" s="32"/>
      <c r="K9" s="32"/>
      <c r="L9" s="32"/>
      <c r="M9" s="32"/>
      <c r="N9" s="32"/>
      <c r="O9" s="32"/>
      <c r="P9" s="32"/>
      <c r="Q9" s="32"/>
      <c r="R9" s="7"/>
      <c r="V9" s="1"/>
      <c r="W9" s="1"/>
      <c r="X9" s="37" t="s">
        <v>53</v>
      </c>
      <c r="Y9" s="37" t="s">
        <v>54</v>
      </c>
      <c r="Z9" s="37" t="s">
        <v>54</v>
      </c>
    </row>
    <row r="10" spans="1:62" ht="21" customHeight="1" x14ac:dyDescent="0.25">
      <c r="A10" s="4" t="s">
        <v>6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7"/>
      <c r="V10" s="1" t="s">
        <v>48</v>
      </c>
      <c r="W10" s="1"/>
      <c r="X10" s="37">
        <v>3</v>
      </c>
      <c r="Y10" s="37" t="str">
        <f>IFERROR(AVERAGEIF($Z$18:$Z$27,"C",$X$18:$X$27),"")</f>
        <v/>
      </c>
      <c r="Z10" s="37" t="str">
        <f>IFERROR(AVERAGEIF($Z$18:$Z$27,"C",$Y$18:$Y$27),"")</f>
        <v/>
      </c>
    </row>
    <row r="11" spans="1:62" ht="21" customHeight="1" x14ac:dyDescent="0.25">
      <c r="A11" s="4" t="s">
        <v>5</v>
      </c>
      <c r="B11" s="32"/>
      <c r="C11" s="32"/>
      <c r="D11" s="32"/>
      <c r="E11" s="32"/>
      <c r="F11" s="32"/>
      <c r="G11" s="32"/>
      <c r="H11" s="32"/>
      <c r="I11" s="32"/>
      <c r="J11" s="32"/>
      <c r="K11" s="47">
        <v>4</v>
      </c>
      <c r="L11" s="32"/>
      <c r="M11" s="32"/>
      <c r="N11" s="32"/>
      <c r="O11" s="32"/>
      <c r="P11" s="34"/>
      <c r="Q11" s="32"/>
      <c r="R11" s="7"/>
      <c r="V11" s="1" t="s">
        <v>49</v>
      </c>
      <c r="W11" s="1"/>
      <c r="X11" s="37">
        <v>6</v>
      </c>
      <c r="Y11" s="37" t="str">
        <f>IFERROR(AVERAGEIF($Z$18:$Z$27,"M",$X$18:$X$27),"")</f>
        <v/>
      </c>
      <c r="Z11" s="37" t="str">
        <f>IFERROR(AVERAGEIF($Z$18:$Z$27,"M",$Y$18:$Y$27),"")</f>
        <v/>
      </c>
    </row>
    <row r="12" spans="1:62" ht="21" customHeight="1" x14ac:dyDescent="0.25">
      <c r="A12" s="4" t="s">
        <v>4</v>
      </c>
      <c r="B12" s="32"/>
      <c r="C12" s="33"/>
      <c r="D12" s="32"/>
      <c r="E12" s="32"/>
      <c r="F12" s="32"/>
      <c r="G12" s="32"/>
      <c r="H12" s="47">
        <v>2</v>
      </c>
      <c r="I12" s="47">
        <v>3</v>
      </c>
      <c r="J12" s="32"/>
      <c r="K12" s="32"/>
      <c r="L12" s="32"/>
      <c r="M12" s="32"/>
      <c r="N12" s="32"/>
      <c r="O12" s="34"/>
      <c r="P12" s="32"/>
      <c r="Q12" s="11"/>
      <c r="R12" s="7"/>
      <c r="V12" s="1" t="s">
        <v>50</v>
      </c>
      <c r="W12" s="1"/>
      <c r="X12" s="37">
        <v>1</v>
      </c>
      <c r="Y12" s="37" t="str">
        <f>IFERROR(AVERAGEIF($Z$18:$Z$27,"E",$X$18:$X$27),"")</f>
        <v/>
      </c>
      <c r="Z12" s="37" t="str">
        <f>IFERROR(AVERAGEIF($Z$18:$Z$27,"E",$Y$18:$Y$27),"")</f>
        <v/>
      </c>
    </row>
    <row r="13" spans="1:62" ht="21" customHeight="1" thickBot="1" x14ac:dyDescent="0.3">
      <c r="A13" s="4" t="s">
        <v>3</v>
      </c>
      <c r="B13" s="11"/>
      <c r="C13" s="32"/>
      <c r="D13" s="33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11"/>
      <c r="R13" s="7"/>
      <c r="V13" s="40" t="s">
        <v>47</v>
      </c>
      <c r="W13" s="40"/>
      <c r="X13" s="44">
        <v>0</v>
      </c>
      <c r="Y13" s="44" t="str">
        <f>IFERROR(AVERAGEIF($Z$18:$Z$27,"P",$X$18:$X$27),"")</f>
        <v/>
      </c>
      <c r="Z13" s="44" t="str">
        <f>IFERROR(AVERAGEIF($Z$18:$Z$27,"P",$Y$18:$Y$27),"")</f>
        <v/>
      </c>
    </row>
    <row r="14" spans="1:62" ht="21" customHeight="1" thickTop="1" x14ac:dyDescent="0.25">
      <c r="A14" s="4" t="s">
        <v>2</v>
      </c>
      <c r="B14" s="11"/>
      <c r="C14" s="32"/>
      <c r="D14" s="32"/>
      <c r="E14" s="47">
        <v>1</v>
      </c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11"/>
      <c r="Q14" s="11"/>
      <c r="R14" s="7"/>
      <c r="V14" s="29" t="s">
        <v>55</v>
      </c>
      <c r="W14" s="1"/>
      <c r="Y14" s="43">
        <f>IFERROR(SUMPRODUCT(X10:X13,Y10:Y13),"")</f>
        <v>0</v>
      </c>
      <c r="Z14" s="43">
        <f>IFERROR(SUMPRODUCT(X10:X13,Z10:Z13),"")</f>
        <v>0</v>
      </c>
    </row>
    <row r="15" spans="1:62" ht="21" customHeight="1" x14ac:dyDescent="0.25">
      <c r="A15" s="8" t="s">
        <v>1</v>
      </c>
      <c r="B15" s="11"/>
      <c r="C15" s="11"/>
      <c r="D15" s="32"/>
      <c r="E15" s="32"/>
      <c r="F15" s="33"/>
      <c r="G15" s="32"/>
      <c r="H15" s="32"/>
      <c r="I15" s="32"/>
      <c r="J15" s="32"/>
      <c r="K15" s="32"/>
      <c r="L15" s="32"/>
      <c r="M15" s="32"/>
      <c r="N15" s="32"/>
      <c r="O15" s="11"/>
      <c r="P15" s="11"/>
      <c r="Q15" s="11"/>
      <c r="R15" s="7"/>
    </row>
    <row r="16" spans="1:62" ht="21" customHeight="1" x14ac:dyDescent="0.25">
      <c r="A16" s="4" t="s">
        <v>0</v>
      </c>
      <c r="B16" s="11"/>
      <c r="C16" s="11"/>
      <c r="D16" s="11"/>
      <c r="E16" s="11"/>
      <c r="F16" s="32"/>
      <c r="G16" s="33"/>
      <c r="H16" s="32"/>
      <c r="I16" s="32"/>
      <c r="J16" s="32"/>
      <c r="K16" s="32"/>
      <c r="L16" s="34"/>
      <c r="M16" s="32"/>
      <c r="N16" s="11"/>
      <c r="O16" s="11"/>
      <c r="P16" s="11"/>
      <c r="Q16" s="11"/>
    </row>
    <row r="17" spans="2:26" x14ac:dyDescent="0.25">
      <c r="B17" s="3" t="s">
        <v>16</v>
      </c>
      <c r="C17" s="6" t="s">
        <v>17</v>
      </c>
      <c r="D17" s="38" t="s">
        <v>18</v>
      </c>
      <c r="E17" s="38" t="s">
        <v>19</v>
      </c>
      <c r="F17" s="38" t="s">
        <v>20</v>
      </c>
      <c r="G17" s="38" t="s">
        <v>21</v>
      </c>
      <c r="H17" s="38" t="s">
        <v>22</v>
      </c>
      <c r="I17" s="38" t="s">
        <v>23</v>
      </c>
      <c r="J17" s="38" t="s">
        <v>24</v>
      </c>
      <c r="K17" s="6" t="s">
        <v>25</v>
      </c>
      <c r="L17" s="6" t="s">
        <v>26</v>
      </c>
      <c r="M17" s="6" t="s">
        <v>27</v>
      </c>
      <c r="N17" s="6" t="s">
        <v>28</v>
      </c>
      <c r="O17" s="6" t="s">
        <v>29</v>
      </c>
      <c r="P17" s="6" t="s">
        <v>30</v>
      </c>
      <c r="Q17" s="6" t="s">
        <v>31</v>
      </c>
      <c r="R17" s="7"/>
      <c r="U17" s="52" t="s">
        <v>37</v>
      </c>
      <c r="V17" s="52" t="s">
        <v>34</v>
      </c>
      <c r="W17" s="52" t="s">
        <v>33</v>
      </c>
      <c r="X17" s="52" t="s">
        <v>35</v>
      </c>
      <c r="Y17" s="52" t="s">
        <v>36</v>
      </c>
      <c r="Z17" s="52" t="s">
        <v>51</v>
      </c>
    </row>
    <row r="18" spans="2:26" x14ac:dyDescent="0.25">
      <c r="C18" s="7"/>
      <c r="D18" s="39"/>
      <c r="E18" s="7"/>
      <c r="F18" s="7"/>
      <c r="G18" s="7"/>
      <c r="H18" s="7"/>
      <c r="I18" s="7"/>
      <c r="J18" s="7"/>
      <c r="M18" s="9"/>
      <c r="N18" s="9"/>
      <c r="O18" s="9"/>
      <c r="P18" s="9"/>
      <c r="Q18" s="9"/>
      <c r="R18" s="29"/>
      <c r="U18" s="48">
        <v>1</v>
      </c>
      <c r="V18" s="48">
        <v>4</v>
      </c>
      <c r="W18" s="48">
        <v>3</v>
      </c>
      <c r="X18" s="48"/>
      <c r="Y18" s="48"/>
      <c r="Z18" s="48" t="s">
        <v>62</v>
      </c>
    </row>
    <row r="19" spans="2:26" x14ac:dyDescent="0.25">
      <c r="C19" s="7"/>
      <c r="D19" s="39"/>
      <c r="E19" s="7"/>
      <c r="F19" s="7"/>
      <c r="G19" s="7"/>
      <c r="H19" s="7"/>
      <c r="I19" s="7"/>
      <c r="J19" s="7"/>
      <c r="M19" s="9"/>
      <c r="N19" s="9"/>
      <c r="O19" s="9"/>
      <c r="P19" s="9"/>
      <c r="Q19" s="9"/>
      <c r="R19" s="29"/>
      <c r="U19" s="48">
        <v>2</v>
      </c>
      <c r="V19" s="48">
        <v>7</v>
      </c>
      <c r="W19" s="48">
        <v>5</v>
      </c>
      <c r="X19" s="48"/>
      <c r="Y19" s="48"/>
      <c r="Z19" s="48" t="s">
        <v>62</v>
      </c>
    </row>
    <row r="20" spans="2:26" x14ac:dyDescent="0.25">
      <c r="C20" s="7"/>
      <c r="D20" s="39"/>
      <c r="E20" s="7"/>
      <c r="F20" s="7"/>
      <c r="G20" s="7"/>
      <c r="H20" s="7"/>
      <c r="I20" s="7"/>
      <c r="J20" s="7"/>
      <c r="M20" s="9"/>
      <c r="N20" s="9"/>
      <c r="O20" s="9"/>
      <c r="P20" s="9"/>
      <c r="Q20" s="9"/>
      <c r="R20" s="29"/>
      <c r="U20" s="48">
        <v>3</v>
      </c>
      <c r="V20" s="48">
        <v>8</v>
      </c>
      <c r="W20" s="48">
        <v>5</v>
      </c>
      <c r="X20" s="48"/>
      <c r="Y20" s="48"/>
      <c r="Z20" s="48" t="s">
        <v>62</v>
      </c>
    </row>
    <row r="21" spans="2:26" x14ac:dyDescent="0.25">
      <c r="C21" s="7"/>
      <c r="D21" s="39"/>
      <c r="E21" s="7"/>
      <c r="F21" s="7"/>
      <c r="G21" s="7"/>
      <c r="H21" s="7"/>
      <c r="I21" s="7"/>
      <c r="J21" s="7"/>
      <c r="M21" s="9"/>
      <c r="N21" s="9"/>
      <c r="O21" s="9"/>
      <c r="P21" s="9"/>
      <c r="Q21" s="9"/>
      <c r="R21" s="29"/>
      <c r="U21" s="48">
        <v>4</v>
      </c>
      <c r="V21" s="48">
        <v>10</v>
      </c>
      <c r="W21" s="48">
        <v>6</v>
      </c>
      <c r="X21" s="48"/>
      <c r="Y21" s="48"/>
      <c r="Z21" s="48" t="s">
        <v>61</v>
      </c>
    </row>
    <row r="22" spans="2:26" x14ac:dyDescent="0.25">
      <c r="C22" s="7"/>
      <c r="D22" s="7"/>
      <c r="E22" s="7"/>
      <c r="F22" s="7"/>
      <c r="G22" s="7"/>
      <c r="H22" s="7"/>
      <c r="I22" s="7"/>
      <c r="J22" s="7"/>
      <c r="M22" s="9"/>
      <c r="N22" s="9"/>
      <c r="O22" s="9"/>
      <c r="P22" s="9"/>
      <c r="Q22" s="9"/>
      <c r="R22" s="29"/>
      <c r="U22" s="48">
        <v>5</v>
      </c>
      <c r="V22" s="48">
        <v>10</v>
      </c>
      <c r="W22" s="48">
        <v>9</v>
      </c>
      <c r="X22" s="48"/>
      <c r="Y22" s="48"/>
      <c r="Z22" s="48" t="s">
        <v>61</v>
      </c>
    </row>
    <row r="23" spans="2:26" x14ac:dyDescent="0.2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U23" s="48">
        <v>6</v>
      </c>
      <c r="V23" s="48">
        <v>12</v>
      </c>
      <c r="W23" s="48">
        <v>10</v>
      </c>
      <c r="X23" s="48"/>
      <c r="Y23" s="48"/>
      <c r="Z23" s="48" t="s">
        <v>62</v>
      </c>
    </row>
    <row r="24" spans="2:26" x14ac:dyDescent="0.2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U24" s="48">
        <v>7</v>
      </c>
      <c r="V24" s="48">
        <v>10</v>
      </c>
      <c r="W24" s="48">
        <v>12</v>
      </c>
      <c r="X24" s="48"/>
      <c r="Y24" s="48"/>
      <c r="Z24" s="48" t="s">
        <v>62</v>
      </c>
    </row>
    <row r="25" spans="2:26" x14ac:dyDescent="0.2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U25" s="48">
        <v>8</v>
      </c>
      <c r="V25" s="48">
        <v>9</v>
      </c>
      <c r="W25" s="48">
        <v>15</v>
      </c>
      <c r="X25" s="48"/>
      <c r="Y25" s="48"/>
      <c r="Z25" s="48" t="s">
        <v>63</v>
      </c>
    </row>
    <row r="26" spans="2:26" x14ac:dyDescent="0.2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U26" s="48">
        <v>9</v>
      </c>
      <c r="V26" s="48">
        <v>5</v>
      </c>
      <c r="W26" s="48">
        <v>12</v>
      </c>
      <c r="X26" s="48"/>
      <c r="Y26" s="48"/>
      <c r="Z26" s="48" t="s">
        <v>62</v>
      </c>
    </row>
    <row r="27" spans="2:26" x14ac:dyDescent="0.2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U27" s="48">
        <v>10</v>
      </c>
      <c r="V27" s="48">
        <v>7</v>
      </c>
      <c r="W27" s="48">
        <v>8</v>
      </c>
      <c r="X27" s="48"/>
      <c r="Y27" s="48"/>
      <c r="Z27" s="48" t="s">
        <v>61</v>
      </c>
    </row>
    <row r="28" spans="2:26" x14ac:dyDescent="0.2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U28" s="9"/>
      <c r="V28" s="9"/>
      <c r="W28" s="9"/>
      <c r="X28" s="9"/>
      <c r="Y28" s="9"/>
      <c r="Z28" s="9"/>
    </row>
    <row r="29" spans="2:26" x14ac:dyDescent="0.2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U29" s="9"/>
      <c r="V29" s="9"/>
      <c r="W29" s="9"/>
      <c r="X29" s="9"/>
      <c r="Y29" s="9"/>
      <c r="Z29" s="9"/>
    </row>
    <row r="30" spans="2:26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U30" s="9"/>
      <c r="V30" s="9"/>
      <c r="W30" s="9"/>
      <c r="X30" s="9"/>
      <c r="Y30" s="9"/>
      <c r="Z30" s="9"/>
    </row>
    <row r="31" spans="2:26" x14ac:dyDescent="0.2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U31" s="9"/>
      <c r="V31" s="9"/>
      <c r="W31" s="9"/>
      <c r="X31" s="9"/>
      <c r="Y31" s="9"/>
      <c r="Z31" s="9"/>
    </row>
    <row r="32" spans="2:26" x14ac:dyDescent="0.2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U32" s="9"/>
      <c r="V32" s="9"/>
      <c r="W32" s="9"/>
      <c r="X32" s="9"/>
      <c r="Y32" s="9"/>
      <c r="Z32" s="9"/>
    </row>
    <row r="33" spans="21:26" x14ac:dyDescent="0.25">
      <c r="U33" s="9"/>
      <c r="V33" s="9"/>
      <c r="W33" s="9"/>
      <c r="X33" s="9"/>
      <c r="Y33" s="9"/>
      <c r="Z33" s="9"/>
    </row>
    <row r="34" spans="21:26" x14ac:dyDescent="0.25">
      <c r="U34" s="9"/>
      <c r="V34" s="9"/>
      <c r="W34" s="9"/>
      <c r="X34" s="9"/>
      <c r="Y34" s="9"/>
      <c r="Z34" s="9"/>
    </row>
    <row r="35" spans="21:26" x14ac:dyDescent="0.25">
      <c r="U35" s="9"/>
      <c r="V35" s="9"/>
      <c r="W35" s="9"/>
      <c r="X35" s="9"/>
      <c r="Y35" s="9"/>
      <c r="Z35" s="9"/>
    </row>
    <row r="36" spans="21:26" x14ac:dyDescent="0.25">
      <c r="U36" s="9"/>
      <c r="V36" s="9"/>
      <c r="W36" s="9"/>
      <c r="X36" s="9"/>
      <c r="Y36" s="9"/>
      <c r="Z36" s="9"/>
    </row>
    <row r="37" spans="21:26" x14ac:dyDescent="0.25">
      <c r="U37" s="9"/>
      <c r="V37" s="9"/>
      <c r="W37" s="9"/>
      <c r="X37" s="9"/>
      <c r="Y37" s="9"/>
      <c r="Z37" s="9"/>
    </row>
    <row r="38" spans="21:26" x14ac:dyDescent="0.25">
      <c r="U38" s="9"/>
      <c r="V38" s="9"/>
      <c r="W38" s="9"/>
      <c r="X38" s="9"/>
      <c r="Y38" s="9"/>
      <c r="Z38" s="9"/>
    </row>
    <row r="39" spans="21:26" x14ac:dyDescent="0.25">
      <c r="U39" s="9"/>
      <c r="V39" s="9"/>
      <c r="W39" s="9"/>
      <c r="X39" s="9"/>
      <c r="Y39" s="9"/>
      <c r="Z39" s="9"/>
    </row>
    <row r="40" spans="21:26" x14ac:dyDescent="0.25">
      <c r="U40" s="9"/>
      <c r="V40" s="9"/>
      <c r="W40" s="9"/>
      <c r="X40" s="9"/>
      <c r="Y40" s="9"/>
      <c r="Z40" s="9"/>
    </row>
    <row r="41" spans="21:26" x14ac:dyDescent="0.25">
      <c r="U41" s="9"/>
      <c r="V41" s="9"/>
      <c r="W41" s="9"/>
      <c r="X41" s="9"/>
      <c r="Y41" s="9"/>
      <c r="Z41" s="9"/>
    </row>
    <row r="42" spans="21:26" x14ac:dyDescent="0.25">
      <c r="U42" s="9"/>
      <c r="V42" s="9"/>
      <c r="W42" s="9"/>
      <c r="X42" s="9"/>
      <c r="Y42" s="9"/>
      <c r="Z42" s="9"/>
    </row>
    <row r="43" spans="21:26" x14ac:dyDescent="0.25">
      <c r="U43" s="9"/>
      <c r="V43" s="9"/>
      <c r="W43" s="9"/>
      <c r="X43" s="9"/>
      <c r="Y43" s="9"/>
      <c r="Z43" s="9"/>
    </row>
    <row r="44" spans="21:26" x14ac:dyDescent="0.25">
      <c r="U44" s="9"/>
      <c r="V44" s="9"/>
      <c r="W44" s="9"/>
      <c r="X44" s="9"/>
      <c r="Y44" s="9"/>
      <c r="Z44" s="9"/>
    </row>
    <row r="45" spans="21:26" x14ac:dyDescent="0.25">
      <c r="U45" s="9"/>
      <c r="V45" s="9"/>
      <c r="W45" s="9"/>
      <c r="X45" s="9"/>
      <c r="Y45" s="9"/>
      <c r="Z45" s="9"/>
    </row>
    <row r="46" spans="21:26" x14ac:dyDescent="0.25">
      <c r="U46" s="9"/>
      <c r="V46" s="9"/>
      <c r="W46" s="9"/>
      <c r="X46" s="9"/>
      <c r="Y46" s="9"/>
      <c r="Z46" s="9"/>
    </row>
    <row r="47" spans="21:26" x14ac:dyDescent="0.25">
      <c r="U47" s="9"/>
      <c r="V47" s="9"/>
      <c r="W47" s="9"/>
      <c r="X47" s="9"/>
      <c r="Y47" s="9"/>
      <c r="Z47" s="9"/>
    </row>
    <row r="48" spans="21:26" x14ac:dyDescent="0.25">
      <c r="U48" s="9"/>
      <c r="V48" s="9"/>
      <c r="W48" s="9"/>
      <c r="X48" s="9"/>
      <c r="Y48" s="9"/>
      <c r="Z48" s="9"/>
    </row>
    <row r="49" spans="21:26" x14ac:dyDescent="0.25">
      <c r="U49" s="9"/>
      <c r="V49" s="9"/>
      <c r="W49" s="9"/>
      <c r="X49" s="9"/>
      <c r="Y49" s="9"/>
      <c r="Z49" s="9"/>
    </row>
    <row r="50" spans="21:26" x14ac:dyDescent="0.25">
      <c r="U50" s="9"/>
      <c r="V50" s="9"/>
      <c r="W50" s="9"/>
      <c r="X50" s="9"/>
      <c r="Y50" s="9"/>
      <c r="Z50" s="9"/>
    </row>
    <row r="51" spans="21:26" x14ac:dyDescent="0.25">
      <c r="U51" s="9"/>
      <c r="V51" s="9"/>
      <c r="W51" s="9"/>
      <c r="X51" s="9"/>
      <c r="Y51" s="9"/>
      <c r="Z51" s="9"/>
    </row>
    <row r="52" spans="21:26" x14ac:dyDescent="0.25">
      <c r="U52" s="9"/>
      <c r="V52" s="9"/>
      <c r="W52" s="9"/>
      <c r="X52" s="9"/>
      <c r="Y52" s="9"/>
      <c r="Z52" s="9"/>
    </row>
    <row r="53" spans="21:26" x14ac:dyDescent="0.25">
      <c r="U53" s="9"/>
      <c r="V53" s="9"/>
      <c r="W53" s="9"/>
      <c r="X53" s="9"/>
      <c r="Y53" s="9"/>
      <c r="Z53" s="9"/>
    </row>
    <row r="54" spans="21:26" x14ac:dyDescent="0.25">
      <c r="U54" s="9"/>
      <c r="V54" s="9"/>
      <c r="W54" s="9"/>
      <c r="X54" s="9"/>
      <c r="Y54" s="9"/>
      <c r="Z54" s="9"/>
    </row>
    <row r="55" spans="21:26" x14ac:dyDescent="0.25">
      <c r="U55" s="9"/>
      <c r="V55" s="9"/>
      <c r="W55" s="9"/>
      <c r="X55" s="9"/>
      <c r="Y55" s="9"/>
      <c r="Z55" s="9"/>
    </row>
    <row r="56" spans="21:26" x14ac:dyDescent="0.25">
      <c r="U56" s="9"/>
      <c r="V56" s="9"/>
      <c r="W56" s="9"/>
      <c r="X56" s="9"/>
      <c r="Y56" s="9"/>
      <c r="Z56" s="9"/>
    </row>
    <row r="57" spans="21:26" x14ac:dyDescent="0.25">
      <c r="U57" s="9"/>
      <c r="V57" s="9"/>
      <c r="W57" s="9"/>
      <c r="X57" s="9"/>
      <c r="Y57" s="9"/>
      <c r="Z57" s="9"/>
    </row>
    <row r="58" spans="21:26" x14ac:dyDescent="0.25">
      <c r="U58" s="9"/>
      <c r="V58" s="9"/>
      <c r="W58" s="9"/>
      <c r="X58" s="9"/>
      <c r="Y58" s="9"/>
      <c r="Z58" s="9"/>
    </row>
    <row r="59" spans="21:26" x14ac:dyDescent="0.25">
      <c r="U59" s="9"/>
      <c r="V59" s="9"/>
      <c r="W59" s="9"/>
      <c r="X59" s="9"/>
      <c r="Y59" s="9"/>
      <c r="Z59" s="9"/>
    </row>
    <row r="60" spans="21:26" x14ac:dyDescent="0.25">
      <c r="U60" s="9"/>
      <c r="V60" s="9"/>
      <c r="W60" s="9"/>
      <c r="X60" s="9"/>
      <c r="Y60" s="9"/>
      <c r="Z60" s="9"/>
    </row>
    <row r="61" spans="21:26" x14ac:dyDescent="0.25">
      <c r="U61" s="9"/>
      <c r="V61" s="9"/>
      <c r="W61" s="9"/>
      <c r="X61" s="9"/>
      <c r="Y61" s="9"/>
      <c r="Z61" s="9"/>
    </row>
    <row r="62" spans="21:26" x14ac:dyDescent="0.25">
      <c r="U62" s="9"/>
      <c r="V62" s="9"/>
      <c r="W62" s="9"/>
      <c r="X62" s="9"/>
      <c r="Y62" s="9"/>
      <c r="Z62" s="9"/>
    </row>
    <row r="63" spans="21:26" x14ac:dyDescent="0.25">
      <c r="U63" s="9"/>
      <c r="V63" s="9"/>
      <c r="W63" s="9"/>
      <c r="X63" s="9"/>
      <c r="Y63" s="9"/>
      <c r="Z63" s="9"/>
    </row>
    <row r="64" spans="21:26" x14ac:dyDescent="0.25">
      <c r="U64" s="9"/>
      <c r="V64" s="9"/>
      <c r="W64" s="9"/>
      <c r="X64" s="9"/>
      <c r="Y64" s="9"/>
      <c r="Z64" s="9"/>
    </row>
    <row r="65" spans="21:26" x14ac:dyDescent="0.25">
      <c r="U65" s="9"/>
      <c r="V65" s="9"/>
      <c r="W65" s="9"/>
      <c r="X65" s="9"/>
      <c r="Y65" s="9"/>
      <c r="Z65" s="9"/>
    </row>
    <row r="66" spans="21:26" x14ac:dyDescent="0.25">
      <c r="U66" s="9"/>
      <c r="V66" s="9"/>
      <c r="W66" s="9"/>
      <c r="X66" s="9"/>
      <c r="Y66" s="9"/>
      <c r="Z66" s="9"/>
    </row>
    <row r="67" spans="21:26" x14ac:dyDescent="0.25">
      <c r="U67" s="9"/>
      <c r="V67" s="9"/>
      <c r="W67" s="9"/>
      <c r="X67" s="9"/>
      <c r="Y67" s="9"/>
      <c r="Z67" s="9"/>
    </row>
    <row r="68" spans="21:26" x14ac:dyDescent="0.25">
      <c r="U68" s="9"/>
      <c r="V68" s="9"/>
      <c r="W68" s="9"/>
      <c r="X68" s="9"/>
      <c r="Y68" s="9"/>
      <c r="Z68" s="9"/>
    </row>
    <row r="69" spans="21:26" x14ac:dyDescent="0.25">
      <c r="U69" s="9"/>
      <c r="V69" s="9"/>
      <c r="W69" s="9"/>
      <c r="X69" s="9"/>
      <c r="Y69" s="9"/>
      <c r="Z69" s="9"/>
    </row>
    <row r="70" spans="21:26" x14ac:dyDescent="0.25">
      <c r="U70" s="9"/>
      <c r="V70" s="9"/>
      <c r="W70" s="9"/>
      <c r="X70" s="9"/>
      <c r="Y70" s="9"/>
      <c r="Z70" s="9"/>
    </row>
    <row r="71" spans="21:26" x14ac:dyDescent="0.25">
      <c r="U71" s="9"/>
      <c r="V71" s="9"/>
      <c r="W71" s="9"/>
      <c r="X71" s="9"/>
      <c r="Y71" s="9"/>
      <c r="Z71" s="9"/>
    </row>
    <row r="72" spans="21:26" x14ac:dyDescent="0.25">
      <c r="U72" s="9"/>
      <c r="V72" s="9"/>
      <c r="W72" s="9"/>
      <c r="X72" s="9"/>
      <c r="Y72" s="9"/>
      <c r="Z72" s="9"/>
    </row>
    <row r="73" spans="21:26" x14ac:dyDescent="0.25">
      <c r="U73" s="9"/>
      <c r="V73" s="9"/>
      <c r="W73" s="9"/>
      <c r="X73" s="9"/>
      <c r="Y73" s="9"/>
      <c r="Z73" s="9"/>
    </row>
    <row r="74" spans="21:26" x14ac:dyDescent="0.25">
      <c r="U74" s="9"/>
      <c r="V74" s="9"/>
      <c r="W74" s="9"/>
      <c r="X74" s="9"/>
      <c r="Y74" s="9"/>
      <c r="Z74" s="9"/>
    </row>
    <row r="75" spans="21:26" x14ac:dyDescent="0.25">
      <c r="U75" s="9"/>
      <c r="V75" s="9"/>
      <c r="W75" s="9"/>
      <c r="X75" s="9"/>
      <c r="Y75" s="9"/>
      <c r="Z75" s="9"/>
    </row>
    <row r="76" spans="21:26" x14ac:dyDescent="0.25">
      <c r="U76" s="9"/>
      <c r="V76" s="9"/>
      <c r="W76" s="9"/>
      <c r="X76" s="9"/>
      <c r="Y76" s="9"/>
      <c r="Z76" s="9"/>
    </row>
    <row r="77" spans="21:26" x14ac:dyDescent="0.25">
      <c r="U77" s="9"/>
      <c r="V77" s="9"/>
      <c r="W77" s="9"/>
      <c r="X77" s="9"/>
      <c r="Y77" s="9"/>
      <c r="Z77" s="9"/>
    </row>
    <row r="78" spans="21:26" x14ac:dyDescent="0.25">
      <c r="U78" s="9"/>
      <c r="V78" s="9"/>
      <c r="W78" s="9"/>
      <c r="X78" s="9"/>
      <c r="Y78" s="9"/>
      <c r="Z78" s="9"/>
    </row>
    <row r="79" spans="21:26" x14ac:dyDescent="0.25">
      <c r="U79" s="9"/>
      <c r="V79" s="9"/>
      <c r="W79" s="9"/>
      <c r="X79" s="9"/>
      <c r="Y79" s="9"/>
      <c r="Z79" s="9"/>
    </row>
    <row r="80" spans="21:26" x14ac:dyDescent="0.25">
      <c r="U80" s="9"/>
      <c r="V80" s="9"/>
      <c r="W80" s="9"/>
      <c r="X80" s="9"/>
      <c r="Y80" s="9"/>
      <c r="Z80" s="9"/>
    </row>
    <row r="81" spans="21:26" x14ac:dyDescent="0.25">
      <c r="U81" s="9"/>
      <c r="V81" s="9"/>
      <c r="W81" s="9"/>
      <c r="X81" s="9"/>
      <c r="Y81" s="9"/>
      <c r="Z81" s="9"/>
    </row>
    <row r="82" spans="21:26" x14ac:dyDescent="0.25">
      <c r="U82" s="9"/>
      <c r="V82" s="9"/>
      <c r="W82" s="9"/>
      <c r="X82" s="9"/>
      <c r="Y82" s="9"/>
      <c r="Z82" s="9"/>
    </row>
    <row r="83" spans="21:26" x14ac:dyDescent="0.25">
      <c r="U83" s="9"/>
      <c r="V83" s="9"/>
      <c r="W83" s="9"/>
      <c r="X83" s="9"/>
      <c r="Y83" s="9"/>
      <c r="Z83" s="9"/>
    </row>
    <row r="84" spans="21:26" x14ac:dyDescent="0.25">
      <c r="U84" s="9"/>
      <c r="V84" s="9"/>
      <c r="W84" s="9"/>
      <c r="X84" s="9"/>
      <c r="Y84" s="9"/>
      <c r="Z84" s="9"/>
    </row>
    <row r="85" spans="21:26" x14ac:dyDescent="0.25">
      <c r="U85" s="9"/>
      <c r="V85" s="9"/>
      <c r="W85" s="9"/>
      <c r="X85" s="9"/>
      <c r="Y85" s="9"/>
      <c r="Z85" s="9"/>
    </row>
    <row r="86" spans="21:26" x14ac:dyDescent="0.25">
      <c r="U86" s="9"/>
      <c r="V86" s="9"/>
      <c r="W86" s="9"/>
      <c r="X86" s="9"/>
      <c r="Y86" s="9"/>
      <c r="Z86" s="9"/>
    </row>
    <row r="87" spans="21:26" x14ac:dyDescent="0.25">
      <c r="U87" s="9"/>
      <c r="V87" s="9"/>
      <c r="W87" s="9"/>
      <c r="X87" s="9"/>
      <c r="Y87" s="9"/>
      <c r="Z87" s="9"/>
    </row>
    <row r="88" spans="21:26" x14ac:dyDescent="0.25">
      <c r="U88" s="9"/>
      <c r="V88" s="9"/>
      <c r="W88" s="9"/>
      <c r="X88" s="9"/>
      <c r="Y88" s="9"/>
      <c r="Z88" s="9"/>
    </row>
    <row r="89" spans="21:26" x14ac:dyDescent="0.25">
      <c r="U89" s="9"/>
      <c r="V89" s="9"/>
      <c r="W89" s="9"/>
      <c r="X89" s="9"/>
      <c r="Y89" s="9"/>
      <c r="Z89" s="9"/>
    </row>
    <row r="90" spans="21:26" x14ac:dyDescent="0.25">
      <c r="U90" s="9"/>
      <c r="V90" s="9"/>
      <c r="W90" s="9"/>
      <c r="X90" s="9"/>
      <c r="Y90" s="9"/>
      <c r="Z90" s="9"/>
    </row>
    <row r="91" spans="21:26" x14ac:dyDescent="0.25">
      <c r="U91" s="9"/>
      <c r="V91" s="9"/>
      <c r="W91" s="9"/>
      <c r="X91" s="9"/>
      <c r="Y91" s="9"/>
      <c r="Z91" s="9"/>
    </row>
    <row r="92" spans="21:26" x14ac:dyDescent="0.25">
      <c r="U92" s="9"/>
      <c r="V92" s="9"/>
      <c r="W92" s="9"/>
      <c r="X92" s="9"/>
      <c r="Y92" s="9"/>
      <c r="Z92" s="9"/>
    </row>
    <row r="93" spans="21:26" x14ac:dyDescent="0.25">
      <c r="U93" s="9"/>
      <c r="V93" s="9"/>
      <c r="W93" s="9"/>
      <c r="X93" s="9"/>
      <c r="Y93" s="9"/>
      <c r="Z93" s="9"/>
    </row>
    <row r="94" spans="21:26" x14ac:dyDescent="0.25">
      <c r="U94" s="9"/>
      <c r="V94" s="9"/>
      <c r="W94" s="9"/>
      <c r="X94" s="9"/>
      <c r="Y94" s="9"/>
      <c r="Z94" s="9"/>
    </row>
    <row r="95" spans="21:26" x14ac:dyDescent="0.25">
      <c r="U95" s="9"/>
      <c r="V95" s="9"/>
      <c r="W95" s="9"/>
      <c r="X95" s="9"/>
      <c r="Y95" s="9"/>
      <c r="Z95" s="9"/>
    </row>
    <row r="96" spans="21:26" x14ac:dyDescent="0.25">
      <c r="U96" s="9"/>
      <c r="V96" s="9"/>
      <c r="W96" s="9"/>
      <c r="X96" s="9"/>
      <c r="Y96" s="9"/>
      <c r="Z96" s="9"/>
    </row>
    <row r="97" spans="21:26" x14ac:dyDescent="0.25">
      <c r="U97" s="9"/>
      <c r="V97" s="9"/>
      <c r="W97" s="9"/>
      <c r="X97" s="9"/>
      <c r="Y97" s="9"/>
      <c r="Z97" s="9"/>
    </row>
    <row r="98" spans="21:26" x14ac:dyDescent="0.25">
      <c r="U98" s="9"/>
      <c r="V98" s="9"/>
      <c r="W98" s="9"/>
      <c r="X98" s="9"/>
      <c r="Y98" s="9"/>
      <c r="Z98" s="9"/>
    </row>
    <row r="99" spans="21:26" x14ac:dyDescent="0.25">
      <c r="U99" s="9"/>
      <c r="V99" s="9"/>
      <c r="W99" s="9"/>
      <c r="X99" s="9"/>
      <c r="Y99" s="9"/>
      <c r="Z99" s="9"/>
    </row>
    <row r="100" spans="21:26" x14ac:dyDescent="0.25">
      <c r="U100" s="9"/>
      <c r="V100" s="9"/>
      <c r="W100" s="9"/>
      <c r="X100" s="9"/>
      <c r="Y100" s="9"/>
      <c r="Z100" s="9"/>
    </row>
    <row r="101" spans="21:26" x14ac:dyDescent="0.25">
      <c r="U101" s="9"/>
      <c r="V101" s="9"/>
      <c r="W101" s="9"/>
      <c r="X101" s="9"/>
      <c r="Y101" s="9"/>
      <c r="Z101" s="9"/>
    </row>
    <row r="102" spans="21:26" x14ac:dyDescent="0.25">
      <c r="U102" s="9"/>
      <c r="V102" s="9"/>
      <c r="W102" s="9"/>
      <c r="X102" s="9"/>
      <c r="Y102" s="9"/>
      <c r="Z102" s="9"/>
    </row>
    <row r="103" spans="21:26" x14ac:dyDescent="0.25">
      <c r="U103" s="9"/>
      <c r="V103" s="9"/>
      <c r="W103" s="9"/>
      <c r="X103" s="9"/>
      <c r="Y103" s="9"/>
      <c r="Z103" s="9"/>
    </row>
    <row r="104" spans="21:26" x14ac:dyDescent="0.25">
      <c r="U104" s="9"/>
      <c r="V104" s="9"/>
      <c r="W104" s="9"/>
      <c r="X104" s="9"/>
      <c r="Y104" s="9"/>
      <c r="Z104" s="9"/>
    </row>
    <row r="105" spans="21:26" x14ac:dyDescent="0.25">
      <c r="U105" s="9"/>
      <c r="V105" s="9"/>
      <c r="W105" s="9"/>
      <c r="X105" s="9"/>
      <c r="Y105" s="9"/>
      <c r="Z105" s="9"/>
    </row>
    <row r="106" spans="21:26" x14ac:dyDescent="0.25">
      <c r="U106" s="9"/>
      <c r="V106" s="9"/>
      <c r="W106" s="9"/>
      <c r="X106" s="9"/>
      <c r="Y106" s="9"/>
      <c r="Z106" s="9"/>
    </row>
    <row r="107" spans="21:26" x14ac:dyDescent="0.25">
      <c r="U107" s="9"/>
      <c r="V107" s="9"/>
      <c r="W107" s="9"/>
      <c r="X107" s="9"/>
      <c r="Y107" s="9"/>
      <c r="Z107" s="9"/>
    </row>
    <row r="108" spans="21:26" x14ac:dyDescent="0.25">
      <c r="U108" s="9"/>
      <c r="V108" s="9"/>
      <c r="W108" s="9"/>
      <c r="X108" s="9"/>
      <c r="Y108" s="9"/>
      <c r="Z108" s="9"/>
    </row>
    <row r="109" spans="21:26" x14ac:dyDescent="0.25">
      <c r="U109" s="9"/>
      <c r="V109" s="9"/>
      <c r="W109" s="9"/>
      <c r="X109" s="9"/>
      <c r="Y109" s="9"/>
      <c r="Z109" s="9"/>
    </row>
    <row r="110" spans="21:26" x14ac:dyDescent="0.25">
      <c r="U110" s="9"/>
      <c r="V110" s="9"/>
      <c r="W110" s="9"/>
      <c r="X110" s="9"/>
      <c r="Y110" s="9"/>
      <c r="Z110" s="9"/>
    </row>
    <row r="111" spans="21:26" x14ac:dyDescent="0.25">
      <c r="U111" s="9"/>
      <c r="V111" s="9"/>
      <c r="W111" s="9"/>
      <c r="X111" s="9"/>
      <c r="Y111" s="9"/>
      <c r="Z111" s="9"/>
    </row>
    <row r="112" spans="21:26" x14ac:dyDescent="0.25">
      <c r="U112" s="9"/>
      <c r="V112" s="9"/>
      <c r="W112" s="9"/>
      <c r="X112" s="9"/>
      <c r="Y112" s="9"/>
      <c r="Z112" s="9"/>
    </row>
    <row r="113" spans="21:26" x14ac:dyDescent="0.25">
      <c r="U113" s="9"/>
      <c r="V113" s="9"/>
      <c r="W113" s="9"/>
      <c r="X113" s="9"/>
      <c r="Y113" s="9"/>
      <c r="Z113" s="9"/>
    </row>
    <row r="114" spans="21:26" x14ac:dyDescent="0.25">
      <c r="U114" s="9"/>
      <c r="V114" s="9"/>
      <c r="W114" s="9"/>
      <c r="X114" s="9"/>
      <c r="Y114" s="9"/>
      <c r="Z114" s="9"/>
    </row>
    <row r="115" spans="21:26" x14ac:dyDescent="0.25">
      <c r="U115" s="9"/>
      <c r="V115" s="9"/>
      <c r="W115" s="9"/>
      <c r="X115" s="9"/>
      <c r="Y115" s="9"/>
      <c r="Z115" s="9"/>
    </row>
    <row r="116" spans="21:26" x14ac:dyDescent="0.25">
      <c r="U116" s="9"/>
      <c r="V116" s="9"/>
      <c r="W116" s="9"/>
      <c r="X116" s="9"/>
      <c r="Y116" s="9"/>
      <c r="Z116" s="9"/>
    </row>
    <row r="117" spans="21:26" x14ac:dyDescent="0.25">
      <c r="U117" s="9"/>
      <c r="V117" s="9"/>
      <c r="W117" s="9"/>
      <c r="X117" s="9"/>
      <c r="Y117" s="9"/>
      <c r="Z117" s="9"/>
    </row>
    <row r="118" spans="21:26" x14ac:dyDescent="0.25">
      <c r="U118" s="9"/>
      <c r="V118" s="9"/>
      <c r="W118" s="9"/>
      <c r="X118" s="9"/>
      <c r="Y118" s="9"/>
      <c r="Z118" s="9"/>
    </row>
    <row r="119" spans="21:26" x14ac:dyDescent="0.25">
      <c r="U119" s="9"/>
      <c r="V119" s="9"/>
      <c r="W119" s="9"/>
      <c r="X119" s="9"/>
      <c r="Y119" s="9"/>
      <c r="Z119" s="9"/>
    </row>
    <row r="120" spans="21:26" x14ac:dyDescent="0.25">
      <c r="U120" s="9"/>
      <c r="V120" s="9"/>
      <c r="W120" s="9"/>
      <c r="X120" s="9"/>
      <c r="Y120" s="9"/>
      <c r="Z120" s="9"/>
    </row>
    <row r="121" spans="21:26" x14ac:dyDescent="0.25">
      <c r="U121" s="9"/>
      <c r="V121" s="9"/>
      <c r="W121" s="9"/>
      <c r="X121" s="9"/>
      <c r="Y121" s="9"/>
      <c r="Z121" s="9"/>
    </row>
    <row r="122" spans="21:26" x14ac:dyDescent="0.25">
      <c r="U122" s="9"/>
      <c r="V122" s="9"/>
      <c r="W122" s="9"/>
      <c r="X122" s="9"/>
      <c r="Y122" s="9"/>
      <c r="Z122" s="9"/>
    </row>
    <row r="123" spans="21:26" x14ac:dyDescent="0.25">
      <c r="U123" s="9"/>
      <c r="V123" s="9"/>
      <c r="W123" s="9"/>
      <c r="X123" s="9"/>
      <c r="Y123" s="9"/>
      <c r="Z123" s="9"/>
    </row>
    <row r="124" spans="21:26" x14ac:dyDescent="0.25">
      <c r="U124" s="9"/>
      <c r="V124" s="9"/>
      <c r="W124" s="9"/>
      <c r="X124" s="9"/>
      <c r="Y124" s="9"/>
      <c r="Z124" s="9"/>
    </row>
    <row r="125" spans="21:26" x14ac:dyDescent="0.25">
      <c r="U125" s="9"/>
      <c r="V125" s="9"/>
      <c r="W125" s="9"/>
      <c r="X125" s="9"/>
      <c r="Y125" s="9"/>
      <c r="Z125" s="9"/>
    </row>
    <row r="126" spans="21:26" x14ac:dyDescent="0.25">
      <c r="U126" s="9"/>
      <c r="V126" s="9"/>
      <c r="W126" s="9"/>
      <c r="X126" s="9"/>
      <c r="Y126" s="9"/>
      <c r="Z126" s="9"/>
    </row>
    <row r="127" spans="21:26" x14ac:dyDescent="0.25">
      <c r="U127" s="9"/>
      <c r="V127" s="9"/>
      <c r="W127" s="9"/>
      <c r="X127" s="9"/>
      <c r="Y127" s="9"/>
      <c r="Z127" s="9"/>
    </row>
    <row r="128" spans="21:26" x14ac:dyDescent="0.25">
      <c r="U128" s="9"/>
      <c r="V128" s="9"/>
      <c r="W128" s="9"/>
      <c r="X128" s="9"/>
      <c r="Y128" s="9"/>
      <c r="Z128" s="9"/>
    </row>
    <row r="129" spans="21:26" x14ac:dyDescent="0.25">
      <c r="U129" s="9"/>
      <c r="V129" s="9"/>
      <c r="W129" s="9"/>
      <c r="X129" s="9"/>
      <c r="Y129" s="9"/>
      <c r="Z129" s="9"/>
    </row>
    <row r="130" spans="21:26" x14ac:dyDescent="0.25">
      <c r="U130" s="9"/>
      <c r="V130" s="9"/>
      <c r="W130" s="9"/>
      <c r="X130" s="9"/>
      <c r="Y130" s="9"/>
      <c r="Z130" s="9"/>
    </row>
    <row r="131" spans="21:26" x14ac:dyDescent="0.25">
      <c r="U131" s="9"/>
      <c r="V131" s="9"/>
      <c r="W131" s="9"/>
      <c r="X131" s="9"/>
      <c r="Y131" s="9"/>
      <c r="Z131" s="9"/>
    </row>
    <row r="132" spans="21:26" x14ac:dyDescent="0.25">
      <c r="U132" s="9"/>
      <c r="V132" s="9"/>
      <c r="W132" s="9"/>
      <c r="X132" s="9"/>
      <c r="Y132" s="9"/>
      <c r="Z132" s="9"/>
    </row>
    <row r="133" spans="21:26" x14ac:dyDescent="0.25">
      <c r="U133" s="9"/>
      <c r="V133" s="9"/>
      <c r="W133" s="9"/>
      <c r="X133" s="9"/>
      <c r="Y133" s="9"/>
      <c r="Z133" s="9"/>
    </row>
    <row r="134" spans="21:26" x14ac:dyDescent="0.25">
      <c r="U134" s="9"/>
      <c r="V134" s="9"/>
      <c r="W134" s="9"/>
      <c r="X134" s="9"/>
      <c r="Y134" s="9"/>
      <c r="Z134" s="9"/>
    </row>
    <row r="135" spans="21:26" x14ac:dyDescent="0.25">
      <c r="U135" s="9"/>
      <c r="V135" s="9"/>
      <c r="W135" s="9"/>
      <c r="X135" s="9"/>
      <c r="Y135" s="9"/>
      <c r="Z135" s="9"/>
    </row>
    <row r="136" spans="21:26" x14ac:dyDescent="0.25">
      <c r="U136" s="9"/>
      <c r="V136" s="9"/>
      <c r="W136" s="9"/>
      <c r="X136" s="9"/>
      <c r="Y136" s="9"/>
      <c r="Z136" s="9"/>
    </row>
    <row r="137" spans="21:26" x14ac:dyDescent="0.25">
      <c r="U137" s="9"/>
      <c r="V137" s="9"/>
      <c r="W137" s="9"/>
      <c r="X137" s="9"/>
      <c r="Y137" s="9"/>
      <c r="Z137" s="9"/>
    </row>
    <row r="138" spans="21:26" x14ac:dyDescent="0.25">
      <c r="U138" s="9"/>
      <c r="V138" s="9"/>
      <c r="W138" s="9"/>
      <c r="X138" s="9"/>
      <c r="Y138" s="9"/>
      <c r="Z138" s="9"/>
    </row>
    <row r="139" spans="21:26" x14ac:dyDescent="0.25">
      <c r="U139" s="9"/>
      <c r="V139" s="9"/>
      <c r="W139" s="9"/>
      <c r="X139" s="9"/>
      <c r="Y139" s="9"/>
      <c r="Z139" s="9"/>
    </row>
    <row r="140" spans="21:26" x14ac:dyDescent="0.25">
      <c r="U140" s="9"/>
      <c r="V140" s="9"/>
      <c r="W140" s="9"/>
      <c r="X140" s="9"/>
      <c r="Y140" s="9"/>
      <c r="Z140" s="9"/>
    </row>
    <row r="141" spans="21:26" x14ac:dyDescent="0.25">
      <c r="U141" s="9"/>
      <c r="V141" s="9"/>
      <c r="W141" s="9"/>
      <c r="X141" s="9"/>
      <c r="Y141" s="9"/>
      <c r="Z141" s="9"/>
    </row>
    <row r="142" spans="21:26" x14ac:dyDescent="0.25">
      <c r="U142" s="9"/>
      <c r="V142" s="9"/>
      <c r="W142" s="9"/>
      <c r="X142" s="9"/>
      <c r="Y142" s="9"/>
      <c r="Z142" s="9"/>
    </row>
    <row r="143" spans="21:26" x14ac:dyDescent="0.25">
      <c r="U143" s="9"/>
      <c r="V143" s="9"/>
      <c r="W143" s="9"/>
      <c r="X143" s="9"/>
      <c r="Y143" s="9"/>
      <c r="Z143" s="9"/>
    </row>
    <row r="144" spans="21:26" x14ac:dyDescent="0.25">
      <c r="U144" s="9"/>
      <c r="V144" s="9"/>
      <c r="W144" s="9"/>
      <c r="X144" s="9"/>
      <c r="Y144" s="9"/>
      <c r="Z144" s="9"/>
    </row>
    <row r="145" spans="21:26" x14ac:dyDescent="0.25">
      <c r="U145" s="9"/>
      <c r="V145" s="9"/>
      <c r="W145" s="9"/>
      <c r="X145" s="9"/>
      <c r="Y145" s="9"/>
      <c r="Z145" s="9"/>
    </row>
    <row r="146" spans="21:26" x14ac:dyDescent="0.25">
      <c r="U146" s="9"/>
      <c r="V146" s="9"/>
      <c r="W146" s="9"/>
      <c r="X146" s="9"/>
      <c r="Y146" s="9"/>
      <c r="Z146" s="9"/>
    </row>
    <row r="147" spans="21:26" x14ac:dyDescent="0.25">
      <c r="U147" s="9"/>
      <c r="V147" s="9"/>
      <c r="W147" s="9"/>
      <c r="X147" s="9"/>
      <c r="Y147" s="9"/>
      <c r="Z147" s="9"/>
    </row>
    <row r="148" spans="21:26" x14ac:dyDescent="0.25">
      <c r="U148" s="9"/>
      <c r="V148" s="9"/>
      <c r="W148" s="9"/>
      <c r="X148" s="9"/>
      <c r="Y148" s="9"/>
      <c r="Z148" s="9"/>
    </row>
    <row r="149" spans="21:26" x14ac:dyDescent="0.25">
      <c r="U149" s="9"/>
      <c r="V149" s="9"/>
      <c r="W149" s="9"/>
      <c r="X149" s="9"/>
      <c r="Y149" s="9"/>
      <c r="Z149" s="9"/>
    </row>
    <row r="150" spans="21:26" x14ac:dyDescent="0.25">
      <c r="U150" s="9"/>
      <c r="V150" s="9"/>
      <c r="W150" s="9"/>
      <c r="X150" s="9"/>
      <c r="Y150" s="9"/>
      <c r="Z150" s="9"/>
    </row>
    <row r="151" spans="21:26" x14ac:dyDescent="0.25">
      <c r="U151" s="9"/>
      <c r="V151" s="9"/>
      <c r="W151" s="9"/>
      <c r="X151" s="9"/>
      <c r="Y151" s="9"/>
      <c r="Z151" s="9"/>
    </row>
    <row r="152" spans="21:26" x14ac:dyDescent="0.25">
      <c r="U152" s="9"/>
      <c r="V152" s="9"/>
      <c r="W152" s="9"/>
      <c r="X152" s="9"/>
      <c r="Y152" s="9"/>
      <c r="Z152" s="9"/>
    </row>
    <row r="153" spans="21:26" x14ac:dyDescent="0.25">
      <c r="U153" s="9"/>
      <c r="V153" s="9"/>
      <c r="W153" s="9"/>
      <c r="X153" s="9"/>
      <c r="Y153" s="9"/>
      <c r="Z153" s="9"/>
    </row>
    <row r="154" spans="21:26" x14ac:dyDescent="0.25">
      <c r="U154" s="9"/>
      <c r="V154" s="9"/>
      <c r="W154" s="9"/>
      <c r="X154" s="9"/>
      <c r="Y154" s="9"/>
      <c r="Z154" s="9"/>
    </row>
    <row r="155" spans="21:26" x14ac:dyDescent="0.25">
      <c r="U155" s="9"/>
      <c r="V155" s="9"/>
      <c r="W155" s="9"/>
      <c r="X155" s="9"/>
      <c r="Y155" s="9"/>
      <c r="Z155" s="9"/>
    </row>
    <row r="156" spans="21:26" x14ac:dyDescent="0.25">
      <c r="U156" s="9"/>
      <c r="V156" s="9"/>
      <c r="W156" s="9"/>
      <c r="X156" s="9"/>
      <c r="Y156" s="9"/>
      <c r="Z156" s="9"/>
    </row>
    <row r="157" spans="21:26" x14ac:dyDescent="0.25">
      <c r="U157" s="9"/>
      <c r="V157" s="9"/>
      <c r="W157" s="9"/>
      <c r="X157" s="9"/>
      <c r="Y157" s="9"/>
      <c r="Z157" s="9"/>
    </row>
    <row r="158" spans="21:26" x14ac:dyDescent="0.25">
      <c r="U158" s="9"/>
      <c r="V158" s="9"/>
      <c r="W158" s="9"/>
      <c r="X158" s="9"/>
      <c r="Y158" s="9"/>
      <c r="Z158" s="9"/>
    </row>
    <row r="159" spans="21:26" x14ac:dyDescent="0.25">
      <c r="U159" s="9"/>
      <c r="V159" s="9"/>
      <c r="W159" s="9"/>
      <c r="X159" s="9"/>
      <c r="Y159" s="9"/>
      <c r="Z159" s="9"/>
    </row>
    <row r="160" spans="21:26" x14ac:dyDescent="0.25">
      <c r="U160" s="9"/>
      <c r="V160" s="9"/>
      <c r="W160" s="9"/>
      <c r="X160" s="9"/>
      <c r="Y160" s="9"/>
      <c r="Z160" s="9"/>
    </row>
    <row r="161" spans="21:26" x14ac:dyDescent="0.25">
      <c r="U161" s="9"/>
      <c r="V161" s="9"/>
      <c r="W161" s="9"/>
      <c r="X161" s="9"/>
      <c r="Y161" s="9"/>
      <c r="Z161" s="9"/>
    </row>
    <row r="162" spans="21:26" x14ac:dyDescent="0.25">
      <c r="U162" s="9"/>
      <c r="V162" s="9"/>
      <c r="W162" s="9"/>
      <c r="X162" s="9"/>
      <c r="Y162" s="9"/>
      <c r="Z162" s="9"/>
    </row>
    <row r="163" spans="21:26" x14ac:dyDescent="0.25">
      <c r="U163" s="9"/>
      <c r="V163" s="9"/>
      <c r="W163" s="9"/>
      <c r="X163" s="9"/>
      <c r="Y163" s="9"/>
      <c r="Z163" s="9"/>
    </row>
    <row r="164" spans="21:26" x14ac:dyDescent="0.25">
      <c r="U164" s="9"/>
      <c r="V164" s="9"/>
      <c r="W164" s="9"/>
      <c r="X164" s="9"/>
      <c r="Y164" s="9"/>
      <c r="Z164" s="9"/>
    </row>
    <row r="165" spans="21:26" x14ac:dyDescent="0.25">
      <c r="U165" s="9"/>
      <c r="V165" s="9"/>
      <c r="W165" s="9"/>
      <c r="X165" s="9"/>
      <c r="Y165" s="9"/>
      <c r="Z165" s="9"/>
    </row>
    <row r="166" spans="21:26" x14ac:dyDescent="0.25">
      <c r="U166" s="9"/>
      <c r="V166" s="9"/>
      <c r="W166" s="9"/>
      <c r="X166" s="9"/>
      <c r="Y166" s="9"/>
      <c r="Z166" s="9"/>
    </row>
    <row r="167" spans="21:26" x14ac:dyDescent="0.25">
      <c r="U167" s="9"/>
      <c r="V167" s="9"/>
      <c r="W167" s="9"/>
      <c r="X167" s="9"/>
      <c r="Y167" s="9"/>
      <c r="Z167" s="9"/>
    </row>
    <row r="168" spans="21:26" x14ac:dyDescent="0.25">
      <c r="U168" s="9"/>
      <c r="V168" s="9"/>
      <c r="W168" s="9"/>
      <c r="X168" s="9"/>
      <c r="Y168" s="9"/>
      <c r="Z168" s="9"/>
    </row>
    <row r="169" spans="21:26" x14ac:dyDescent="0.25">
      <c r="U169" s="9"/>
      <c r="V169" s="9"/>
      <c r="W169" s="9"/>
      <c r="X169" s="9"/>
      <c r="Y169" s="9"/>
      <c r="Z169" s="9"/>
    </row>
    <row r="170" spans="21:26" x14ac:dyDescent="0.25">
      <c r="U170" s="9"/>
      <c r="V170" s="9"/>
      <c r="W170" s="9"/>
      <c r="X170" s="9"/>
      <c r="Y170" s="9"/>
      <c r="Z170" s="9"/>
    </row>
    <row r="171" spans="21:26" x14ac:dyDescent="0.25">
      <c r="U171" s="9"/>
      <c r="V171" s="9"/>
      <c r="W171" s="9"/>
      <c r="X171" s="9"/>
      <c r="Y171" s="9"/>
      <c r="Z171" s="9"/>
    </row>
    <row r="172" spans="21:26" x14ac:dyDescent="0.25">
      <c r="U172" s="9"/>
      <c r="V172" s="9"/>
      <c r="W172" s="9"/>
      <c r="X172" s="9"/>
      <c r="Y172" s="9"/>
      <c r="Z172" s="9"/>
    </row>
    <row r="173" spans="21:26" x14ac:dyDescent="0.25">
      <c r="U173" s="9"/>
      <c r="V173" s="9"/>
      <c r="W173" s="9"/>
      <c r="X173" s="9"/>
      <c r="Y173" s="9"/>
      <c r="Z173" s="9"/>
    </row>
    <row r="174" spans="21:26" x14ac:dyDescent="0.25">
      <c r="U174" s="9"/>
      <c r="V174" s="9"/>
      <c r="W174" s="9"/>
      <c r="X174" s="9"/>
      <c r="Y174" s="9"/>
      <c r="Z174" s="9"/>
    </row>
    <row r="175" spans="21:26" x14ac:dyDescent="0.25">
      <c r="U175" s="9"/>
      <c r="V175" s="9"/>
      <c r="W175" s="9"/>
      <c r="X175" s="9"/>
      <c r="Y175" s="9"/>
      <c r="Z175" s="9"/>
    </row>
    <row r="176" spans="21:26" x14ac:dyDescent="0.25">
      <c r="U176" s="9"/>
      <c r="V176" s="9"/>
      <c r="W176" s="9"/>
      <c r="X176" s="9"/>
      <c r="Y176" s="9"/>
      <c r="Z176" s="9"/>
    </row>
    <row r="177" spans="21:26" x14ac:dyDescent="0.25">
      <c r="U177" s="9"/>
      <c r="V177" s="9"/>
      <c r="W177" s="9"/>
      <c r="X177" s="9"/>
      <c r="Y177" s="9"/>
      <c r="Z177" s="9"/>
    </row>
    <row r="178" spans="21:26" x14ac:dyDescent="0.25">
      <c r="U178" s="9"/>
      <c r="V178" s="9"/>
      <c r="W178" s="9"/>
      <c r="X178" s="9"/>
      <c r="Y178" s="9"/>
      <c r="Z178" s="9"/>
    </row>
    <row r="179" spans="21:26" x14ac:dyDescent="0.25">
      <c r="U179" s="9"/>
      <c r="V179" s="9"/>
      <c r="W179" s="9"/>
      <c r="X179" s="9"/>
      <c r="Y179" s="9"/>
      <c r="Z179" s="9"/>
    </row>
    <row r="180" spans="21:26" x14ac:dyDescent="0.25">
      <c r="U180" s="9"/>
      <c r="V180" s="9"/>
      <c r="W180" s="9"/>
      <c r="X180" s="9"/>
      <c r="Y180" s="9"/>
      <c r="Z180" s="9"/>
    </row>
    <row r="181" spans="21:26" x14ac:dyDescent="0.25">
      <c r="U181" s="9"/>
      <c r="V181" s="9"/>
      <c r="W181" s="9"/>
      <c r="X181" s="9"/>
      <c r="Y181" s="9"/>
      <c r="Z181" s="9"/>
    </row>
    <row r="182" spans="21:26" x14ac:dyDescent="0.25">
      <c r="U182" s="9"/>
      <c r="V182" s="9"/>
      <c r="W182" s="9"/>
      <c r="X182" s="9"/>
      <c r="Y182" s="9"/>
      <c r="Z182" s="9"/>
    </row>
    <row r="183" spans="21:26" x14ac:dyDescent="0.25">
      <c r="U183" s="9"/>
      <c r="V183" s="9"/>
      <c r="W183" s="9"/>
      <c r="X183" s="9"/>
      <c r="Y183" s="9"/>
      <c r="Z183" s="9"/>
    </row>
    <row r="184" spans="21:26" x14ac:dyDescent="0.25">
      <c r="U184" s="9"/>
      <c r="V184" s="9"/>
      <c r="W184" s="9"/>
      <c r="X184" s="9"/>
      <c r="Y184" s="9"/>
      <c r="Z184" s="9"/>
    </row>
    <row r="185" spans="21:26" x14ac:dyDescent="0.25">
      <c r="U185" s="9"/>
      <c r="V185" s="9"/>
      <c r="W185" s="9"/>
      <c r="X185" s="9"/>
      <c r="Y185" s="9"/>
      <c r="Z185" s="9"/>
    </row>
    <row r="186" spans="21:26" x14ac:dyDescent="0.25">
      <c r="U186" s="9"/>
      <c r="V186" s="9"/>
      <c r="W186" s="9"/>
      <c r="X186" s="9"/>
      <c r="Y186" s="9"/>
      <c r="Z186" s="9"/>
    </row>
    <row r="187" spans="21:26" x14ac:dyDescent="0.25">
      <c r="U187" s="9"/>
      <c r="V187" s="9"/>
      <c r="W187" s="9"/>
      <c r="X187" s="9"/>
      <c r="Y187" s="9"/>
      <c r="Z187" s="9"/>
    </row>
    <row r="188" spans="21:26" x14ac:dyDescent="0.25">
      <c r="U188" s="9"/>
      <c r="V188" s="9"/>
      <c r="W188" s="9"/>
      <c r="X188" s="9"/>
      <c r="Y188" s="9"/>
      <c r="Z188" s="9"/>
    </row>
    <row r="189" spans="21:26" x14ac:dyDescent="0.25">
      <c r="U189" s="9"/>
      <c r="V189" s="9"/>
      <c r="W189" s="9"/>
      <c r="X189" s="9"/>
      <c r="Y189" s="9"/>
      <c r="Z189" s="9"/>
    </row>
    <row r="190" spans="21:26" x14ac:dyDescent="0.25">
      <c r="U190" s="9"/>
      <c r="V190" s="9"/>
      <c r="W190" s="9"/>
      <c r="X190" s="9"/>
      <c r="Y190" s="9"/>
      <c r="Z190" s="9"/>
    </row>
    <row r="191" spans="21:26" x14ac:dyDescent="0.25">
      <c r="U191" s="9"/>
      <c r="V191" s="9"/>
      <c r="W191" s="9"/>
      <c r="X191" s="9"/>
      <c r="Y191" s="9"/>
      <c r="Z191" s="9"/>
    </row>
    <row r="192" spans="21:26" x14ac:dyDescent="0.25">
      <c r="U192" s="9"/>
      <c r="V192" s="9"/>
      <c r="W192" s="9"/>
      <c r="X192" s="9"/>
      <c r="Y192" s="9"/>
      <c r="Z192" s="9"/>
    </row>
    <row r="193" spans="21:26" x14ac:dyDescent="0.25">
      <c r="U193" s="9"/>
      <c r="V193" s="9"/>
      <c r="W193" s="9"/>
      <c r="X193" s="9"/>
      <c r="Y193" s="9"/>
      <c r="Z193" s="9"/>
    </row>
    <row r="194" spans="21:26" x14ac:dyDescent="0.25">
      <c r="U194" s="9"/>
      <c r="V194" s="9"/>
      <c r="W194" s="9"/>
      <c r="X194" s="9"/>
      <c r="Y194" s="9"/>
      <c r="Z194" s="9"/>
    </row>
    <row r="195" spans="21:26" x14ac:dyDescent="0.25">
      <c r="U195" s="9"/>
      <c r="V195" s="9"/>
      <c r="W195" s="9"/>
      <c r="X195" s="9"/>
      <c r="Y195" s="9"/>
      <c r="Z195" s="9"/>
    </row>
    <row r="196" spans="21:26" x14ac:dyDescent="0.25">
      <c r="U196" s="9"/>
      <c r="V196" s="9"/>
      <c r="W196" s="9"/>
      <c r="X196" s="9"/>
      <c r="Y196" s="9"/>
      <c r="Z196" s="9"/>
    </row>
    <row r="197" spans="21:26" x14ac:dyDescent="0.25">
      <c r="U197" s="9"/>
      <c r="V197" s="9"/>
      <c r="W197" s="9"/>
      <c r="X197" s="9"/>
      <c r="Y197" s="9"/>
      <c r="Z197" s="9"/>
    </row>
    <row r="198" spans="21:26" x14ac:dyDescent="0.25">
      <c r="U198" s="9"/>
      <c r="V198" s="9"/>
      <c r="W198" s="9"/>
      <c r="X198" s="9"/>
      <c r="Y198" s="9"/>
      <c r="Z198" s="9"/>
    </row>
    <row r="199" spans="21:26" x14ac:dyDescent="0.25">
      <c r="U199" s="9"/>
      <c r="V199" s="9"/>
      <c r="W199" s="9"/>
      <c r="X199" s="9"/>
      <c r="Y199" s="9"/>
      <c r="Z199" s="9"/>
    </row>
    <row r="200" spans="21:26" x14ac:dyDescent="0.25">
      <c r="U200" s="9"/>
      <c r="V200" s="9"/>
      <c r="W200" s="9"/>
      <c r="X200" s="9"/>
      <c r="Y200" s="9"/>
      <c r="Z200" s="9"/>
    </row>
    <row r="201" spans="21:26" x14ac:dyDescent="0.25">
      <c r="U201" s="9"/>
      <c r="V201" s="9"/>
      <c r="W201" s="9"/>
      <c r="X201" s="9"/>
      <c r="Y201" s="9"/>
      <c r="Z201" s="9"/>
    </row>
    <row r="202" spans="21:26" x14ac:dyDescent="0.25">
      <c r="U202" s="9"/>
      <c r="V202" s="9"/>
      <c r="W202" s="9"/>
      <c r="X202" s="9"/>
      <c r="Y202" s="9"/>
      <c r="Z202" s="9"/>
    </row>
    <row r="203" spans="21:26" x14ac:dyDescent="0.25">
      <c r="U203" s="9"/>
      <c r="V203" s="9"/>
      <c r="W203" s="9"/>
      <c r="X203" s="9"/>
      <c r="Y203" s="9"/>
      <c r="Z203" s="9"/>
    </row>
    <row r="204" spans="21:26" x14ac:dyDescent="0.25">
      <c r="U204" s="9"/>
      <c r="V204" s="9"/>
      <c r="W204" s="9"/>
      <c r="X204" s="9"/>
      <c r="Y204" s="9"/>
      <c r="Z204" s="9"/>
    </row>
    <row r="205" spans="21:26" x14ac:dyDescent="0.25">
      <c r="U205" s="9"/>
      <c r="V205" s="9"/>
      <c r="W205" s="9"/>
      <c r="X205" s="9"/>
      <c r="Y205" s="9"/>
      <c r="Z205" s="9"/>
    </row>
    <row r="206" spans="21:26" x14ac:dyDescent="0.25">
      <c r="U206" s="9"/>
      <c r="V206" s="9"/>
      <c r="W206" s="9"/>
      <c r="X206" s="9"/>
      <c r="Y206" s="9"/>
      <c r="Z206" s="9"/>
    </row>
    <row r="207" spans="21:26" x14ac:dyDescent="0.25">
      <c r="U207" s="9"/>
      <c r="V207" s="9"/>
      <c r="W207" s="9"/>
      <c r="X207" s="9"/>
      <c r="Y207" s="9"/>
      <c r="Z207" s="9"/>
    </row>
    <row r="208" spans="21:26" x14ac:dyDescent="0.25">
      <c r="U208" s="9"/>
      <c r="V208" s="9"/>
      <c r="W208" s="9"/>
      <c r="X208" s="9"/>
      <c r="Y208" s="9"/>
      <c r="Z208" s="9"/>
    </row>
    <row r="209" spans="21:26" x14ac:dyDescent="0.25">
      <c r="U209" s="9"/>
      <c r="V209" s="9"/>
      <c r="W209" s="9"/>
      <c r="X209" s="9"/>
      <c r="Y209" s="9"/>
      <c r="Z209" s="9"/>
    </row>
    <row r="210" spans="21:26" x14ac:dyDescent="0.25">
      <c r="U210" s="9"/>
      <c r="V210" s="9"/>
      <c r="W210" s="9"/>
      <c r="X210" s="9"/>
      <c r="Y210" s="9"/>
      <c r="Z210" s="9"/>
    </row>
    <row r="211" spans="21:26" x14ac:dyDescent="0.25">
      <c r="U211" s="9"/>
      <c r="V211" s="9"/>
      <c r="W211" s="9"/>
      <c r="X211" s="9"/>
      <c r="Y211" s="9"/>
      <c r="Z211" s="9"/>
    </row>
    <row r="212" spans="21:26" x14ac:dyDescent="0.25">
      <c r="U212" s="9"/>
      <c r="V212" s="9"/>
      <c r="W212" s="9"/>
      <c r="X212" s="9"/>
      <c r="Y212" s="9"/>
      <c r="Z212" s="9"/>
    </row>
    <row r="213" spans="21:26" x14ac:dyDescent="0.25">
      <c r="U213" s="9"/>
      <c r="V213" s="9"/>
      <c r="W213" s="9"/>
      <c r="X213" s="9"/>
      <c r="Y213" s="9"/>
      <c r="Z213" s="9"/>
    </row>
    <row r="214" spans="21:26" x14ac:dyDescent="0.25">
      <c r="U214" s="9"/>
      <c r="V214" s="9"/>
      <c r="W214" s="9"/>
      <c r="X214" s="9"/>
      <c r="Y214" s="9"/>
      <c r="Z214" s="9"/>
    </row>
    <row r="215" spans="21:26" x14ac:dyDescent="0.25">
      <c r="U215" s="9"/>
      <c r="V215" s="9"/>
      <c r="W215" s="9"/>
      <c r="X215" s="9"/>
      <c r="Y215" s="9"/>
      <c r="Z215" s="9"/>
    </row>
    <row r="216" spans="21:26" x14ac:dyDescent="0.25">
      <c r="U216" s="9"/>
      <c r="V216" s="9"/>
      <c r="W216" s="9"/>
      <c r="X216" s="9"/>
      <c r="Y216" s="9"/>
      <c r="Z216" s="9"/>
    </row>
    <row r="217" spans="21:26" x14ac:dyDescent="0.25">
      <c r="U217" s="9"/>
      <c r="V217" s="9"/>
      <c r="W217" s="9"/>
      <c r="X217" s="9"/>
      <c r="Y217" s="9"/>
      <c r="Z217" s="9"/>
    </row>
    <row r="218" spans="21:26" x14ac:dyDescent="0.25">
      <c r="U218" s="9"/>
      <c r="V218" s="9"/>
      <c r="W218" s="9"/>
      <c r="X218" s="9"/>
      <c r="Y218" s="9"/>
      <c r="Z218" s="9"/>
    </row>
    <row r="219" spans="21:26" x14ac:dyDescent="0.25">
      <c r="U219" s="9"/>
      <c r="V219" s="9"/>
      <c r="W219" s="9"/>
      <c r="X219" s="9"/>
      <c r="Y219" s="9"/>
      <c r="Z219" s="9"/>
    </row>
    <row r="220" spans="21:26" x14ac:dyDescent="0.25">
      <c r="U220" s="9"/>
      <c r="V220" s="9"/>
      <c r="W220" s="9"/>
      <c r="X220" s="9"/>
      <c r="Y220" s="9"/>
      <c r="Z220" s="9"/>
    </row>
    <row r="221" spans="21:26" x14ac:dyDescent="0.25">
      <c r="U221" s="9"/>
      <c r="V221" s="9"/>
      <c r="W221" s="9"/>
      <c r="X221" s="9"/>
      <c r="Y221" s="9"/>
      <c r="Z221" s="9"/>
    </row>
    <row r="222" spans="21:26" x14ac:dyDescent="0.25">
      <c r="U222" s="9"/>
      <c r="V222" s="9"/>
      <c r="W222" s="9"/>
      <c r="X222" s="9"/>
      <c r="Y222" s="9"/>
      <c r="Z222" s="9"/>
    </row>
    <row r="223" spans="21:26" x14ac:dyDescent="0.25">
      <c r="U223" s="9"/>
      <c r="V223" s="9"/>
      <c r="W223" s="9"/>
      <c r="X223" s="9"/>
      <c r="Y223" s="9"/>
      <c r="Z223" s="9"/>
    </row>
    <row r="224" spans="21:26" x14ac:dyDescent="0.25">
      <c r="U224" s="9"/>
      <c r="V224" s="9"/>
      <c r="W224" s="9"/>
      <c r="X224" s="9"/>
      <c r="Y224" s="9"/>
      <c r="Z224" s="9"/>
    </row>
    <row r="225" spans="21:26" x14ac:dyDescent="0.25">
      <c r="U225" s="9"/>
      <c r="V225" s="9"/>
      <c r="W225" s="9"/>
      <c r="X225" s="9"/>
      <c r="Y225" s="9"/>
      <c r="Z225" s="9"/>
    </row>
    <row r="226" spans="21:26" x14ac:dyDescent="0.25">
      <c r="U226" s="9"/>
      <c r="V226" s="9"/>
      <c r="W226" s="9"/>
      <c r="X226" s="9"/>
      <c r="Y226" s="9"/>
      <c r="Z226" s="9"/>
    </row>
    <row r="227" spans="21:26" x14ac:dyDescent="0.25">
      <c r="U227" s="9"/>
      <c r="V227" s="9"/>
      <c r="W227" s="9"/>
      <c r="X227" s="9"/>
      <c r="Y227" s="9"/>
      <c r="Z227" s="9"/>
    </row>
    <row r="228" spans="21:26" x14ac:dyDescent="0.25">
      <c r="U228" s="9"/>
      <c r="V228" s="9"/>
      <c r="W228" s="9"/>
      <c r="X228" s="9"/>
      <c r="Y228" s="9"/>
      <c r="Z228" s="9"/>
    </row>
    <row r="229" spans="21:26" x14ac:dyDescent="0.25">
      <c r="U229" s="9"/>
      <c r="V229" s="9"/>
      <c r="W229" s="9"/>
      <c r="X229" s="9"/>
      <c r="Y229" s="9"/>
      <c r="Z229" s="9"/>
    </row>
    <row r="230" spans="21:26" x14ac:dyDescent="0.25">
      <c r="U230" s="9"/>
      <c r="V230" s="9"/>
      <c r="W230" s="9"/>
      <c r="X230" s="9"/>
      <c r="Y230" s="9"/>
      <c r="Z230" s="9"/>
    </row>
    <row r="231" spans="21:26" x14ac:dyDescent="0.25">
      <c r="U231" s="9"/>
      <c r="V231" s="9"/>
      <c r="W231" s="9"/>
      <c r="X231" s="9"/>
      <c r="Y231" s="9"/>
      <c r="Z231" s="9"/>
    </row>
    <row r="232" spans="21:26" x14ac:dyDescent="0.25">
      <c r="U232" s="9"/>
      <c r="V232" s="9"/>
      <c r="W232" s="9"/>
      <c r="X232" s="9"/>
      <c r="Y232" s="9"/>
      <c r="Z232" s="9"/>
    </row>
    <row r="233" spans="21:26" x14ac:dyDescent="0.25">
      <c r="U233" s="9"/>
      <c r="V233" s="9"/>
      <c r="W233" s="9"/>
      <c r="X233" s="9"/>
      <c r="Y233" s="9"/>
      <c r="Z233" s="9"/>
    </row>
    <row r="234" spans="21:26" x14ac:dyDescent="0.25">
      <c r="U234" s="9"/>
      <c r="V234" s="9"/>
      <c r="W234" s="9"/>
      <c r="X234" s="9"/>
      <c r="Y234" s="9"/>
      <c r="Z234" s="9"/>
    </row>
  </sheetData>
  <mergeCells count="7">
    <mergeCell ref="AD3:AE3"/>
    <mergeCell ref="X2:Y2"/>
    <mergeCell ref="X3:Y3"/>
    <mergeCell ref="AD2:AE2"/>
    <mergeCell ref="X6:Y6"/>
    <mergeCell ref="AD4:AE4"/>
    <mergeCell ref="X4:Y4"/>
  </mergeCells>
  <phoneticPr fontId="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3910-CB0E-4011-9E33-77EE376F40DE}">
  <sheetPr codeName="wsSettings"/>
  <dimension ref="A1:U32"/>
  <sheetViews>
    <sheetView showGridLines="0" zoomScale="85" zoomScaleNormal="85" workbookViewId="0">
      <selection activeCell="F12" sqref="F12"/>
    </sheetView>
  </sheetViews>
  <sheetFormatPr defaultRowHeight="13.8" x14ac:dyDescent="0.25"/>
  <cols>
    <col min="1" max="1" width="8.88671875" style="1"/>
    <col min="2" max="17" width="3.88671875" style="1" customWidth="1"/>
    <col min="18" max="18" width="8.88671875" style="1"/>
    <col min="19" max="19" width="14.33203125" style="1" customWidth="1"/>
    <col min="20" max="20" width="11.21875" style="1" bestFit="1" customWidth="1"/>
    <col min="21" max="16384" width="8.88671875" style="1"/>
  </cols>
  <sheetData>
    <row r="1" spans="1:21" ht="21" customHeight="1" x14ac:dyDescent="0.25">
      <c r="A1" s="4" t="s">
        <v>15</v>
      </c>
      <c r="B1" s="20"/>
      <c r="C1" s="20"/>
      <c r="D1" s="20"/>
      <c r="E1" s="20"/>
      <c r="F1" s="21">
        <v>210</v>
      </c>
      <c r="G1" s="21">
        <v>211</v>
      </c>
      <c r="H1" s="21">
        <v>212</v>
      </c>
      <c r="I1" s="21">
        <v>213</v>
      </c>
      <c r="J1" s="21">
        <v>214</v>
      </c>
      <c r="K1" s="21">
        <v>215</v>
      </c>
      <c r="L1" s="21">
        <v>216</v>
      </c>
      <c r="M1" s="21">
        <v>217</v>
      </c>
      <c r="N1" s="20"/>
      <c r="O1" s="20"/>
      <c r="P1" s="20"/>
      <c r="Q1" s="20"/>
      <c r="R1" s="7"/>
    </row>
    <row r="2" spans="1:21" ht="21" customHeight="1" x14ac:dyDescent="0.25">
      <c r="A2" s="4" t="s">
        <v>14</v>
      </c>
      <c r="B2" s="20"/>
      <c r="C2" s="20"/>
      <c r="D2" s="20"/>
      <c r="E2" s="21">
        <v>200</v>
      </c>
      <c r="F2" s="21">
        <v>201</v>
      </c>
      <c r="G2" s="22">
        <v>202</v>
      </c>
      <c r="H2" s="22">
        <v>203</v>
      </c>
      <c r="I2" s="22">
        <v>204</v>
      </c>
      <c r="J2" s="22">
        <v>205</v>
      </c>
      <c r="K2" s="22">
        <v>206</v>
      </c>
      <c r="L2" s="22">
        <v>207</v>
      </c>
      <c r="M2" s="21">
        <v>208</v>
      </c>
      <c r="N2" s="21">
        <v>209</v>
      </c>
      <c r="O2" s="20"/>
      <c r="P2" s="20"/>
      <c r="Q2" s="20"/>
      <c r="R2" s="7"/>
    </row>
    <row r="3" spans="1:21" ht="21" customHeight="1" x14ac:dyDescent="0.25">
      <c r="A3" s="4" t="s">
        <v>13</v>
      </c>
      <c r="B3" s="20"/>
      <c r="C3" s="23">
        <v>187</v>
      </c>
      <c r="D3" s="21">
        <v>188</v>
      </c>
      <c r="E3" s="24">
        <v>189</v>
      </c>
      <c r="F3" s="25">
        <v>190</v>
      </c>
      <c r="G3" s="24">
        <v>191</v>
      </c>
      <c r="H3" s="25">
        <v>192</v>
      </c>
      <c r="I3" s="24">
        <v>193</v>
      </c>
      <c r="J3" s="25">
        <v>194</v>
      </c>
      <c r="K3" s="24">
        <v>195</v>
      </c>
      <c r="L3" s="25">
        <v>196</v>
      </c>
      <c r="M3" s="24">
        <v>197</v>
      </c>
      <c r="N3" s="25">
        <v>198</v>
      </c>
      <c r="O3" s="23">
        <v>199</v>
      </c>
      <c r="P3" s="20"/>
      <c r="Q3" s="20"/>
      <c r="R3" s="7"/>
      <c r="S3" s="12" t="s">
        <v>51</v>
      </c>
      <c r="T3" s="12" t="s">
        <v>52</v>
      </c>
    </row>
    <row r="4" spans="1:21" ht="21" customHeight="1" x14ac:dyDescent="0.25">
      <c r="A4" s="4" t="s">
        <v>12</v>
      </c>
      <c r="B4" s="20"/>
      <c r="C4" s="21">
        <v>173</v>
      </c>
      <c r="D4" s="25">
        <v>174</v>
      </c>
      <c r="E4" s="25">
        <v>175</v>
      </c>
      <c r="F4" s="25">
        <v>176</v>
      </c>
      <c r="G4" s="25">
        <v>177</v>
      </c>
      <c r="H4" s="25">
        <v>178</v>
      </c>
      <c r="I4" s="25">
        <v>179</v>
      </c>
      <c r="J4" s="25">
        <v>180</v>
      </c>
      <c r="K4" s="25">
        <v>181</v>
      </c>
      <c r="L4" s="25">
        <v>182</v>
      </c>
      <c r="M4" s="25">
        <v>183</v>
      </c>
      <c r="N4" s="25">
        <v>184</v>
      </c>
      <c r="O4" s="25">
        <v>185</v>
      </c>
      <c r="P4" s="21">
        <v>186</v>
      </c>
      <c r="Q4" s="20"/>
      <c r="R4" s="7"/>
      <c r="S4" s="18" t="s">
        <v>47</v>
      </c>
      <c r="T4" s="30">
        <v>0</v>
      </c>
    </row>
    <row r="5" spans="1:21" ht="21" customHeight="1" x14ac:dyDescent="0.25">
      <c r="A5" s="4" t="s">
        <v>11</v>
      </c>
      <c r="B5" s="21">
        <v>158</v>
      </c>
      <c r="C5" s="22">
        <v>159</v>
      </c>
      <c r="D5" s="25">
        <v>160</v>
      </c>
      <c r="E5" s="25">
        <v>161</v>
      </c>
      <c r="F5" s="25">
        <v>162</v>
      </c>
      <c r="G5" s="25">
        <v>163</v>
      </c>
      <c r="H5" s="25">
        <v>164</v>
      </c>
      <c r="I5" s="25">
        <v>165</v>
      </c>
      <c r="J5" s="25">
        <v>166</v>
      </c>
      <c r="K5" s="25">
        <v>167</v>
      </c>
      <c r="L5" s="25">
        <v>168</v>
      </c>
      <c r="M5" s="25">
        <v>169</v>
      </c>
      <c r="N5" s="25">
        <v>170</v>
      </c>
      <c r="O5" s="25">
        <v>171</v>
      </c>
      <c r="P5" s="21">
        <v>172</v>
      </c>
      <c r="Q5" s="20"/>
      <c r="R5" s="7"/>
      <c r="S5" s="49" t="s">
        <v>48</v>
      </c>
      <c r="T5" s="30">
        <v>0.3</v>
      </c>
    </row>
    <row r="6" spans="1:21" ht="21" customHeight="1" x14ac:dyDescent="0.3">
      <c r="A6" s="4" t="s">
        <v>10</v>
      </c>
      <c r="B6" s="21">
        <v>142</v>
      </c>
      <c r="C6" s="22">
        <v>143</v>
      </c>
      <c r="D6" s="25">
        <v>144</v>
      </c>
      <c r="E6" s="25">
        <v>145</v>
      </c>
      <c r="F6" s="25">
        <v>146</v>
      </c>
      <c r="G6" s="19">
        <v>147</v>
      </c>
      <c r="H6" s="19">
        <v>148</v>
      </c>
      <c r="I6" s="19">
        <v>149</v>
      </c>
      <c r="J6" s="19">
        <v>150</v>
      </c>
      <c r="K6" s="19">
        <v>151</v>
      </c>
      <c r="L6" s="19">
        <v>152</v>
      </c>
      <c r="M6" s="50">
        <v>153</v>
      </c>
      <c r="N6" s="50">
        <v>154</v>
      </c>
      <c r="O6" s="50">
        <v>155</v>
      </c>
      <c r="P6" s="22">
        <v>156</v>
      </c>
      <c r="Q6" s="21">
        <v>157</v>
      </c>
      <c r="R6" s="7"/>
      <c r="S6" s="50" t="s">
        <v>49</v>
      </c>
      <c r="T6" s="30">
        <v>0.6</v>
      </c>
      <c r="U6"/>
    </row>
    <row r="7" spans="1:21" ht="21" customHeight="1" x14ac:dyDescent="0.25">
      <c r="A7" s="4" t="s">
        <v>9</v>
      </c>
      <c r="B7" s="21">
        <v>126</v>
      </c>
      <c r="C7" s="22">
        <v>127</v>
      </c>
      <c r="D7" s="25">
        <v>128</v>
      </c>
      <c r="E7" s="25">
        <v>129</v>
      </c>
      <c r="F7" s="25">
        <v>130</v>
      </c>
      <c r="G7" s="19">
        <v>131</v>
      </c>
      <c r="H7" s="19">
        <v>132</v>
      </c>
      <c r="I7" s="19">
        <v>133</v>
      </c>
      <c r="J7" s="19">
        <v>134</v>
      </c>
      <c r="K7" s="19">
        <v>135</v>
      </c>
      <c r="L7" s="19">
        <v>136</v>
      </c>
      <c r="M7" s="50">
        <v>137</v>
      </c>
      <c r="N7" s="50">
        <v>138</v>
      </c>
      <c r="O7" s="50">
        <v>139</v>
      </c>
      <c r="P7" s="22">
        <v>140</v>
      </c>
      <c r="Q7" s="21">
        <v>141</v>
      </c>
      <c r="R7" s="7"/>
      <c r="S7" s="51" t="s">
        <v>50</v>
      </c>
      <c r="T7" s="30">
        <v>0.1</v>
      </c>
    </row>
    <row r="8" spans="1:21" ht="21" customHeight="1" x14ac:dyDescent="0.25">
      <c r="A8" s="4" t="s">
        <v>8</v>
      </c>
      <c r="B8" s="21">
        <v>110</v>
      </c>
      <c r="C8" s="22">
        <v>111</v>
      </c>
      <c r="D8" s="25">
        <v>112</v>
      </c>
      <c r="E8" s="25">
        <v>113</v>
      </c>
      <c r="F8" s="25">
        <v>114</v>
      </c>
      <c r="G8" s="19">
        <v>115</v>
      </c>
      <c r="H8" s="19">
        <v>116</v>
      </c>
      <c r="I8" s="19">
        <v>117</v>
      </c>
      <c r="J8" s="19">
        <v>118</v>
      </c>
      <c r="K8" s="19">
        <v>119</v>
      </c>
      <c r="L8" s="19">
        <v>120</v>
      </c>
      <c r="M8" s="50">
        <v>121</v>
      </c>
      <c r="N8" s="50">
        <v>122</v>
      </c>
      <c r="O8" s="50">
        <v>123</v>
      </c>
      <c r="P8" s="22">
        <v>124</v>
      </c>
      <c r="Q8" s="21">
        <v>125</v>
      </c>
      <c r="R8" s="7"/>
      <c r="T8" s="31">
        <f>SUM(T4:T7)</f>
        <v>0.99999999999999989</v>
      </c>
    </row>
    <row r="9" spans="1:21" ht="21" customHeight="1" x14ac:dyDescent="0.25">
      <c r="A9" s="4" t="s">
        <v>7</v>
      </c>
      <c r="B9" s="21">
        <v>94</v>
      </c>
      <c r="C9" s="22">
        <v>95</v>
      </c>
      <c r="D9" s="25">
        <v>96</v>
      </c>
      <c r="E9" s="25">
        <v>97</v>
      </c>
      <c r="F9" s="25">
        <v>98</v>
      </c>
      <c r="G9" s="19">
        <v>99</v>
      </c>
      <c r="H9" s="19">
        <v>100</v>
      </c>
      <c r="I9" s="19">
        <v>101</v>
      </c>
      <c r="J9" s="19">
        <v>102</v>
      </c>
      <c r="K9" s="19">
        <v>103</v>
      </c>
      <c r="L9" s="19">
        <v>104</v>
      </c>
      <c r="M9" s="50">
        <v>105</v>
      </c>
      <c r="N9" s="50">
        <v>106</v>
      </c>
      <c r="O9" s="50">
        <v>107</v>
      </c>
      <c r="P9" s="22">
        <v>108</v>
      </c>
      <c r="Q9" s="21">
        <v>109</v>
      </c>
      <c r="R9" s="7"/>
    </row>
    <row r="10" spans="1:21" ht="21" customHeight="1" x14ac:dyDescent="0.25">
      <c r="A10" s="4" t="s">
        <v>6</v>
      </c>
      <c r="B10" s="21">
        <v>78</v>
      </c>
      <c r="C10" s="22">
        <v>79</v>
      </c>
      <c r="D10" s="25">
        <v>80</v>
      </c>
      <c r="E10" s="25">
        <v>81</v>
      </c>
      <c r="F10" s="25">
        <v>82</v>
      </c>
      <c r="G10" s="19">
        <v>83</v>
      </c>
      <c r="H10" s="19">
        <v>84</v>
      </c>
      <c r="I10" s="19">
        <v>85</v>
      </c>
      <c r="J10" s="19">
        <v>86</v>
      </c>
      <c r="K10" s="19">
        <v>87</v>
      </c>
      <c r="L10" s="19">
        <v>88</v>
      </c>
      <c r="M10" s="50">
        <v>89</v>
      </c>
      <c r="N10" s="50">
        <v>90</v>
      </c>
      <c r="O10" s="50">
        <v>91</v>
      </c>
      <c r="P10" s="22">
        <v>92</v>
      </c>
      <c r="Q10" s="21">
        <v>93</v>
      </c>
      <c r="R10" s="7"/>
    </row>
    <row r="11" spans="1:21" ht="21" customHeight="1" x14ac:dyDescent="0.25">
      <c r="A11" s="4" t="s">
        <v>5</v>
      </c>
      <c r="B11" s="21">
        <v>62</v>
      </c>
      <c r="C11" s="22">
        <v>63</v>
      </c>
      <c r="D11" s="25">
        <v>64</v>
      </c>
      <c r="E11" s="25">
        <v>65</v>
      </c>
      <c r="F11" s="25">
        <v>66</v>
      </c>
      <c r="G11" s="19">
        <v>67</v>
      </c>
      <c r="H11" s="19">
        <v>68</v>
      </c>
      <c r="I11" s="19">
        <v>69</v>
      </c>
      <c r="J11" s="19">
        <v>70</v>
      </c>
      <c r="K11" s="19">
        <v>71</v>
      </c>
      <c r="L11" s="19">
        <v>72</v>
      </c>
      <c r="M11" s="50">
        <v>73</v>
      </c>
      <c r="N11" s="50">
        <v>74</v>
      </c>
      <c r="O11" s="50">
        <v>75</v>
      </c>
      <c r="P11" s="22">
        <v>76</v>
      </c>
      <c r="Q11" s="21">
        <v>77</v>
      </c>
      <c r="R11" s="7"/>
    </row>
    <row r="12" spans="1:21" ht="21" customHeight="1" x14ac:dyDescent="0.25">
      <c r="A12" s="4" t="s">
        <v>4</v>
      </c>
      <c r="B12" s="21">
        <v>47</v>
      </c>
      <c r="C12" s="26">
        <v>48</v>
      </c>
      <c r="D12" s="25">
        <v>49</v>
      </c>
      <c r="E12" s="25">
        <v>50</v>
      </c>
      <c r="F12" s="27">
        <v>51</v>
      </c>
      <c r="G12" s="25">
        <v>52</v>
      </c>
      <c r="H12" s="25">
        <v>53</v>
      </c>
      <c r="I12" s="27">
        <v>54</v>
      </c>
      <c r="J12" s="25">
        <v>55</v>
      </c>
      <c r="K12" s="25">
        <v>56</v>
      </c>
      <c r="L12" s="27">
        <v>57</v>
      </c>
      <c r="M12" s="25">
        <v>58</v>
      </c>
      <c r="N12" s="25">
        <v>59</v>
      </c>
      <c r="O12" s="27">
        <v>60</v>
      </c>
      <c r="P12" s="21">
        <v>61</v>
      </c>
      <c r="Q12" s="20"/>
      <c r="R12" s="7"/>
    </row>
    <row r="13" spans="1:21" ht="21" customHeight="1" x14ac:dyDescent="0.25">
      <c r="A13" s="4" t="s">
        <v>3</v>
      </c>
      <c r="B13" s="20"/>
      <c r="C13" s="21">
        <v>33</v>
      </c>
      <c r="D13" s="27">
        <v>34</v>
      </c>
      <c r="E13" s="25">
        <v>35</v>
      </c>
      <c r="F13" s="25">
        <v>36</v>
      </c>
      <c r="G13" s="27">
        <v>37</v>
      </c>
      <c r="H13" s="25">
        <v>38</v>
      </c>
      <c r="I13" s="25">
        <v>39</v>
      </c>
      <c r="J13" s="27">
        <v>40</v>
      </c>
      <c r="K13" s="25">
        <v>41</v>
      </c>
      <c r="L13" s="25">
        <v>42</v>
      </c>
      <c r="M13" s="27">
        <v>43</v>
      </c>
      <c r="N13" s="25">
        <v>44</v>
      </c>
      <c r="O13" s="25">
        <v>45</v>
      </c>
      <c r="P13" s="28">
        <v>46</v>
      </c>
      <c r="Q13" s="20"/>
      <c r="R13" s="7"/>
    </row>
    <row r="14" spans="1:21" ht="21" customHeight="1" x14ac:dyDescent="0.25">
      <c r="A14" s="4" t="s">
        <v>2</v>
      </c>
      <c r="B14" s="20"/>
      <c r="C14" s="21">
        <v>20</v>
      </c>
      <c r="D14" s="21">
        <v>21</v>
      </c>
      <c r="E14" s="25">
        <v>22</v>
      </c>
      <c r="F14" s="25">
        <v>23</v>
      </c>
      <c r="G14" s="25">
        <v>24</v>
      </c>
      <c r="H14" s="25">
        <v>25</v>
      </c>
      <c r="I14" s="25">
        <v>26</v>
      </c>
      <c r="J14" s="25">
        <v>27</v>
      </c>
      <c r="K14" s="25">
        <v>28</v>
      </c>
      <c r="L14" s="25">
        <v>29</v>
      </c>
      <c r="M14" s="25">
        <v>30</v>
      </c>
      <c r="N14" s="25">
        <v>31</v>
      </c>
      <c r="O14" s="21">
        <v>32</v>
      </c>
      <c r="P14" s="20"/>
      <c r="Q14" s="20"/>
      <c r="R14" s="7"/>
    </row>
    <row r="15" spans="1:21" ht="21" customHeight="1" x14ac:dyDescent="0.25">
      <c r="A15" s="8" t="s">
        <v>1</v>
      </c>
      <c r="B15" s="20"/>
      <c r="C15" s="20"/>
      <c r="D15" s="21">
        <v>9</v>
      </c>
      <c r="E15" s="21">
        <v>10</v>
      </c>
      <c r="F15" s="26">
        <v>11</v>
      </c>
      <c r="G15" s="22">
        <v>12</v>
      </c>
      <c r="H15" s="22">
        <v>13</v>
      </c>
      <c r="I15" s="22">
        <v>14</v>
      </c>
      <c r="J15" s="22">
        <v>15</v>
      </c>
      <c r="K15" s="22">
        <v>16</v>
      </c>
      <c r="L15" s="22">
        <v>17</v>
      </c>
      <c r="M15" s="21">
        <v>18</v>
      </c>
      <c r="N15" s="21">
        <v>19</v>
      </c>
      <c r="O15" s="20"/>
      <c r="P15" s="20"/>
      <c r="Q15" s="20"/>
      <c r="R15" s="7"/>
    </row>
    <row r="16" spans="1:21" ht="21" customHeight="1" x14ac:dyDescent="0.25">
      <c r="A16" s="4" t="s">
        <v>0</v>
      </c>
      <c r="B16" s="20"/>
      <c r="C16" s="20"/>
      <c r="D16" s="20"/>
      <c r="E16" s="20"/>
      <c r="F16" s="21">
        <v>1</v>
      </c>
      <c r="G16" s="28">
        <v>2</v>
      </c>
      <c r="H16" s="21">
        <v>3</v>
      </c>
      <c r="I16" s="21">
        <v>4</v>
      </c>
      <c r="J16" s="21">
        <v>5</v>
      </c>
      <c r="K16" s="21">
        <v>6</v>
      </c>
      <c r="L16" s="23">
        <v>7</v>
      </c>
      <c r="M16" s="21">
        <v>8</v>
      </c>
      <c r="N16" s="20"/>
      <c r="O16" s="20"/>
      <c r="P16" s="20"/>
      <c r="Q16" s="20"/>
    </row>
    <row r="17" spans="2:18" x14ac:dyDescent="0.25">
      <c r="B17" s="3" t="s">
        <v>16</v>
      </c>
      <c r="C17" s="6" t="s">
        <v>17</v>
      </c>
      <c r="D17" s="6" t="s">
        <v>18</v>
      </c>
      <c r="E17" s="6" t="s">
        <v>19</v>
      </c>
      <c r="F17" s="6" t="s">
        <v>20</v>
      </c>
      <c r="G17" s="6" t="s">
        <v>21</v>
      </c>
      <c r="H17" s="6" t="s">
        <v>22</v>
      </c>
      <c r="I17" s="6" t="s">
        <v>23</v>
      </c>
      <c r="J17" s="6" t="s">
        <v>24</v>
      </c>
      <c r="K17" s="6" t="s">
        <v>25</v>
      </c>
      <c r="L17" s="6" t="s">
        <v>26</v>
      </c>
      <c r="M17" s="6" t="s">
        <v>27</v>
      </c>
      <c r="N17" s="6" t="s">
        <v>28</v>
      </c>
      <c r="O17" s="6" t="s">
        <v>29</v>
      </c>
      <c r="P17" s="6" t="s">
        <v>30</v>
      </c>
      <c r="Q17" s="6" t="s">
        <v>31</v>
      </c>
      <c r="R17" s="7"/>
    </row>
    <row r="18" spans="2:18" x14ac:dyDescent="0.25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2:18" x14ac:dyDescent="0.2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2:18" x14ac:dyDescent="0.25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2:18" x14ac:dyDescent="0.25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2:18" x14ac:dyDescent="0.25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2:18" x14ac:dyDescent="0.2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2:18" x14ac:dyDescent="0.2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2:18" x14ac:dyDescent="0.2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2:18" x14ac:dyDescent="0.2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2:18" x14ac:dyDescent="0.2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2:18" x14ac:dyDescent="0.2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2:18" x14ac:dyDescent="0.2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2:18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2:18" x14ac:dyDescent="0.2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2:18" x14ac:dyDescent="0.2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59723-A7EE-49EB-86F7-D0C5BFB40890}">
  <sheetPr codeName="wsData"/>
  <dimension ref="A1:HV4"/>
  <sheetViews>
    <sheetView workbookViewId="0">
      <pane ySplit="1" topLeftCell="A2" activePane="bottomLeft" state="frozen"/>
      <selection pane="bottomLeft" activeCell="F18" sqref="F18"/>
    </sheetView>
  </sheetViews>
  <sheetFormatPr defaultRowHeight="14.4" x14ac:dyDescent="0.3"/>
  <cols>
    <col min="1" max="1" width="16.77734375" bestFit="1" customWidth="1"/>
    <col min="2" max="2" width="13.44140625" bestFit="1" customWidth="1"/>
    <col min="3" max="3" width="14.44140625" bestFit="1" customWidth="1"/>
    <col min="4" max="4" width="15.88671875" bestFit="1" customWidth="1"/>
    <col min="5" max="5" width="17" bestFit="1" customWidth="1"/>
    <col min="6" max="6" width="16.21875" bestFit="1" customWidth="1"/>
    <col min="7" max="7" width="12.44140625" bestFit="1" customWidth="1"/>
    <col min="8" max="8" width="11.44140625" bestFit="1" customWidth="1"/>
    <col min="9" max="12" width="12" bestFit="1" customWidth="1"/>
    <col min="13" max="13" width="7.44140625" bestFit="1" customWidth="1"/>
    <col min="14" max="23" width="9.77734375" bestFit="1" customWidth="1"/>
    <col min="24" max="26" width="9.21875" bestFit="1" customWidth="1"/>
    <col min="27" max="31" width="9.77734375" bestFit="1" customWidth="1"/>
    <col min="32" max="48" width="9.21875" bestFit="1" customWidth="1"/>
    <col min="49" max="69" width="9.77734375" bestFit="1" customWidth="1"/>
    <col min="70" max="79" width="9.21875" bestFit="1" customWidth="1"/>
    <col min="80" max="98" width="9.77734375" bestFit="1" customWidth="1"/>
    <col min="99" max="103" width="9.109375" bestFit="1" customWidth="1"/>
    <col min="104" max="109" width="9.77734375" bestFit="1" customWidth="1"/>
    <col min="110" max="113" width="9.109375" bestFit="1" customWidth="1"/>
    <col min="114" max="136" width="9.77734375" bestFit="1" customWidth="1"/>
    <col min="137" max="147" width="9.109375" bestFit="1" customWidth="1"/>
    <col min="148" max="148" width="9.77734375" bestFit="1" customWidth="1"/>
    <col min="149" max="154" width="9.109375" bestFit="1" customWidth="1"/>
    <col min="155" max="163" width="9.77734375" bestFit="1" customWidth="1"/>
    <col min="164" max="196" width="9.109375" bestFit="1" customWidth="1"/>
    <col min="197" max="205" width="9.77734375" bestFit="1" customWidth="1"/>
    <col min="206" max="211" width="9.109375" bestFit="1" customWidth="1"/>
    <col min="212" max="218" width="9.77734375" bestFit="1" customWidth="1"/>
    <col min="219" max="219" width="9.21875" bestFit="1" customWidth="1"/>
    <col min="220" max="220" width="9.77734375" bestFit="1" customWidth="1"/>
    <col min="221" max="230" width="9.109375" bestFit="1" customWidth="1"/>
  </cols>
  <sheetData>
    <row r="1" spans="1:230" x14ac:dyDescent="0.3">
      <c r="A1" s="17" t="s">
        <v>38</v>
      </c>
      <c r="B1" s="17" t="s">
        <v>39</v>
      </c>
      <c r="C1" s="17" t="s">
        <v>44</v>
      </c>
      <c r="D1" s="17" t="s">
        <v>40</v>
      </c>
      <c r="E1" s="17" t="s">
        <v>41</v>
      </c>
      <c r="F1" s="17" t="s">
        <v>42</v>
      </c>
      <c r="G1" s="46" t="s">
        <v>56</v>
      </c>
      <c r="H1" s="17" t="s">
        <v>43</v>
      </c>
      <c r="I1" s="46" t="s">
        <v>57</v>
      </c>
      <c r="J1" s="46" t="s">
        <v>58</v>
      </c>
      <c r="K1" s="46" t="s">
        <v>59</v>
      </c>
      <c r="L1" s="46" t="s">
        <v>60</v>
      </c>
      <c r="M1" s="46" t="s">
        <v>55</v>
      </c>
      <c r="N1" s="17" t="s">
        <v>45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104</v>
      </c>
      <c r="AI1" t="s">
        <v>105</v>
      </c>
      <c r="AJ1" t="s">
        <v>106</v>
      </c>
      <c r="AK1" t="s">
        <v>107</v>
      </c>
      <c r="AL1" t="s">
        <v>108</v>
      </c>
      <c r="AM1" t="s">
        <v>109</v>
      </c>
      <c r="AN1" t="s">
        <v>110</v>
      </c>
      <c r="AO1" t="s">
        <v>111</v>
      </c>
      <c r="AP1" t="s">
        <v>112</v>
      </c>
      <c r="AQ1" t="s">
        <v>113</v>
      </c>
      <c r="AR1" t="s">
        <v>114</v>
      </c>
      <c r="AS1" t="s">
        <v>115</v>
      </c>
      <c r="AT1" t="s">
        <v>116</v>
      </c>
      <c r="AU1" t="s">
        <v>117</v>
      </c>
      <c r="AV1" t="s">
        <v>118</v>
      </c>
      <c r="AW1" t="s">
        <v>119</v>
      </c>
      <c r="AX1" t="s">
        <v>120</v>
      </c>
      <c r="AY1" t="s">
        <v>121</v>
      </c>
      <c r="AZ1" t="s">
        <v>122</v>
      </c>
      <c r="BA1" t="s">
        <v>123</v>
      </c>
      <c r="BB1" t="s">
        <v>124</v>
      </c>
      <c r="BC1" t="s">
        <v>125</v>
      </c>
      <c r="BD1" t="s">
        <v>126</v>
      </c>
      <c r="BE1" t="s">
        <v>127</v>
      </c>
      <c r="BF1" t="s">
        <v>128</v>
      </c>
      <c r="BG1" t="s">
        <v>129</v>
      </c>
      <c r="BH1" t="s">
        <v>130</v>
      </c>
      <c r="BI1" t="s">
        <v>131</v>
      </c>
      <c r="BJ1" t="s">
        <v>132</v>
      </c>
      <c r="BK1" t="s">
        <v>133</v>
      </c>
      <c r="BL1" t="s">
        <v>134</v>
      </c>
      <c r="BM1" t="s">
        <v>135</v>
      </c>
      <c r="BN1" t="s">
        <v>136</v>
      </c>
      <c r="BO1" t="s">
        <v>137</v>
      </c>
      <c r="BP1" t="s">
        <v>138</v>
      </c>
      <c r="BQ1" t="s">
        <v>139</v>
      </c>
      <c r="BR1" t="s">
        <v>140</v>
      </c>
      <c r="BS1" t="s">
        <v>141</v>
      </c>
      <c r="BT1" t="s">
        <v>142</v>
      </c>
      <c r="BU1" t="s">
        <v>143</v>
      </c>
      <c r="BV1" t="s">
        <v>144</v>
      </c>
      <c r="BW1" t="s">
        <v>145</v>
      </c>
      <c r="BX1" t="s">
        <v>146</v>
      </c>
      <c r="BY1" t="s">
        <v>147</v>
      </c>
      <c r="BZ1" t="s">
        <v>148</v>
      </c>
      <c r="CA1" t="s">
        <v>149</v>
      </c>
      <c r="CB1" t="s">
        <v>150</v>
      </c>
      <c r="CC1" t="s">
        <v>151</v>
      </c>
      <c r="CD1" t="s">
        <v>152</v>
      </c>
      <c r="CE1" t="s">
        <v>153</v>
      </c>
      <c r="CF1" t="s">
        <v>154</v>
      </c>
      <c r="CG1" t="s">
        <v>155</v>
      </c>
      <c r="CH1" t="s">
        <v>156</v>
      </c>
      <c r="CI1" t="s">
        <v>157</v>
      </c>
      <c r="CJ1" t="s">
        <v>158</v>
      </c>
      <c r="CK1" t="s">
        <v>159</v>
      </c>
      <c r="CL1" t="s">
        <v>160</v>
      </c>
      <c r="CM1" t="s">
        <v>161</v>
      </c>
      <c r="CN1" t="s">
        <v>162</v>
      </c>
      <c r="CO1" t="s">
        <v>163</v>
      </c>
      <c r="CP1" t="s">
        <v>164</v>
      </c>
      <c r="CQ1" t="s">
        <v>165</v>
      </c>
      <c r="CR1" t="s">
        <v>166</v>
      </c>
      <c r="CS1" t="s">
        <v>167</v>
      </c>
      <c r="CT1" t="s">
        <v>168</v>
      </c>
      <c r="CU1" t="s">
        <v>169</v>
      </c>
      <c r="CV1" t="s">
        <v>170</v>
      </c>
      <c r="CW1" t="s">
        <v>171</v>
      </c>
      <c r="CX1" t="s">
        <v>172</v>
      </c>
      <c r="CY1" t="s">
        <v>173</v>
      </c>
      <c r="CZ1" t="s">
        <v>174</v>
      </c>
      <c r="DA1" t="s">
        <v>175</v>
      </c>
      <c r="DB1" t="s">
        <v>176</v>
      </c>
      <c r="DC1" t="s">
        <v>177</v>
      </c>
      <c r="DD1" t="s">
        <v>178</v>
      </c>
      <c r="DE1" t="s">
        <v>179</v>
      </c>
      <c r="DF1" t="s">
        <v>180</v>
      </c>
      <c r="DG1" t="s">
        <v>181</v>
      </c>
      <c r="DH1" t="s">
        <v>182</v>
      </c>
      <c r="DI1" t="s">
        <v>183</v>
      </c>
      <c r="DJ1" t="s">
        <v>184</v>
      </c>
      <c r="DK1" t="s">
        <v>185</v>
      </c>
      <c r="DL1" t="s">
        <v>186</v>
      </c>
      <c r="DM1" t="s">
        <v>187</v>
      </c>
      <c r="DN1" t="s">
        <v>188</v>
      </c>
      <c r="DO1" t="s">
        <v>189</v>
      </c>
      <c r="DP1" t="s">
        <v>190</v>
      </c>
      <c r="DQ1" t="s">
        <v>191</v>
      </c>
      <c r="DR1" t="s">
        <v>192</v>
      </c>
      <c r="DS1" t="s">
        <v>193</v>
      </c>
      <c r="DT1" t="s">
        <v>194</v>
      </c>
      <c r="DU1" t="s">
        <v>195</v>
      </c>
      <c r="DV1" t="s">
        <v>196</v>
      </c>
      <c r="DW1" t="s">
        <v>197</v>
      </c>
      <c r="DX1" t="s">
        <v>198</v>
      </c>
      <c r="DY1" t="s">
        <v>199</v>
      </c>
      <c r="DZ1" t="s">
        <v>200</v>
      </c>
      <c r="EA1" t="s">
        <v>201</v>
      </c>
      <c r="EB1" t="s">
        <v>202</v>
      </c>
      <c r="EC1" t="s">
        <v>203</v>
      </c>
      <c r="ED1" t="s">
        <v>204</v>
      </c>
      <c r="EE1" t="s">
        <v>205</v>
      </c>
      <c r="EF1" t="s">
        <v>206</v>
      </c>
      <c r="EG1" t="s">
        <v>207</v>
      </c>
      <c r="EH1" t="s">
        <v>208</v>
      </c>
      <c r="EI1" t="s">
        <v>209</v>
      </c>
      <c r="EJ1" t="s">
        <v>210</v>
      </c>
      <c r="EK1" t="s">
        <v>211</v>
      </c>
      <c r="EL1" t="s">
        <v>212</v>
      </c>
      <c r="EM1" t="s">
        <v>213</v>
      </c>
      <c r="EN1" t="s">
        <v>214</v>
      </c>
      <c r="EO1" t="s">
        <v>215</v>
      </c>
      <c r="EP1" t="s">
        <v>216</v>
      </c>
      <c r="EQ1" t="s">
        <v>217</v>
      </c>
      <c r="ER1" t="s">
        <v>218</v>
      </c>
      <c r="ES1" t="s">
        <v>219</v>
      </c>
      <c r="ET1" t="s">
        <v>220</v>
      </c>
      <c r="EU1" t="s">
        <v>221</v>
      </c>
      <c r="EV1" t="s">
        <v>222</v>
      </c>
      <c r="EW1" t="s">
        <v>223</v>
      </c>
      <c r="EX1" t="s">
        <v>224</v>
      </c>
      <c r="EY1" t="s">
        <v>225</v>
      </c>
      <c r="EZ1" t="s">
        <v>226</v>
      </c>
      <c r="FA1" t="s">
        <v>227</v>
      </c>
      <c r="FB1" t="s">
        <v>228</v>
      </c>
      <c r="FC1" t="s">
        <v>229</v>
      </c>
      <c r="FD1" t="s">
        <v>230</v>
      </c>
      <c r="FE1" t="s">
        <v>231</v>
      </c>
      <c r="FF1" t="s">
        <v>232</v>
      </c>
      <c r="FG1" t="s">
        <v>233</v>
      </c>
      <c r="FH1" t="s">
        <v>234</v>
      </c>
      <c r="FI1" t="s">
        <v>235</v>
      </c>
      <c r="FJ1" t="s">
        <v>236</v>
      </c>
      <c r="FK1" t="s">
        <v>237</v>
      </c>
      <c r="FL1" t="s">
        <v>238</v>
      </c>
      <c r="FM1" t="s">
        <v>239</v>
      </c>
      <c r="FN1" t="s">
        <v>240</v>
      </c>
      <c r="FO1" t="s">
        <v>241</v>
      </c>
      <c r="FP1" t="s">
        <v>242</v>
      </c>
      <c r="FQ1" t="s">
        <v>243</v>
      </c>
      <c r="FR1" t="s">
        <v>244</v>
      </c>
      <c r="FS1" t="s">
        <v>245</v>
      </c>
      <c r="FT1" t="s">
        <v>246</v>
      </c>
      <c r="FU1" t="s">
        <v>247</v>
      </c>
      <c r="FV1" t="s">
        <v>248</v>
      </c>
      <c r="FW1" t="s">
        <v>249</v>
      </c>
      <c r="FX1" t="s">
        <v>250</v>
      </c>
      <c r="FY1" t="s">
        <v>251</v>
      </c>
      <c r="FZ1" t="s">
        <v>252</v>
      </c>
      <c r="GA1" t="s">
        <v>253</v>
      </c>
      <c r="GB1" t="s">
        <v>254</v>
      </c>
      <c r="GC1" t="s">
        <v>255</v>
      </c>
      <c r="GD1" t="s">
        <v>256</v>
      </c>
      <c r="GE1" t="s">
        <v>257</v>
      </c>
      <c r="GF1" t="s">
        <v>258</v>
      </c>
      <c r="GG1" t="s">
        <v>259</v>
      </c>
      <c r="GH1" t="s">
        <v>260</v>
      </c>
      <c r="GI1" t="s">
        <v>261</v>
      </c>
      <c r="GJ1" t="s">
        <v>262</v>
      </c>
      <c r="GK1" t="s">
        <v>263</v>
      </c>
      <c r="GL1" t="s">
        <v>264</v>
      </c>
      <c r="GM1" t="s">
        <v>265</v>
      </c>
      <c r="GN1" t="s">
        <v>266</v>
      </c>
      <c r="GO1" t="s">
        <v>267</v>
      </c>
      <c r="GP1" t="s">
        <v>268</v>
      </c>
      <c r="GQ1" t="s">
        <v>269</v>
      </c>
      <c r="GR1" t="s">
        <v>270</v>
      </c>
      <c r="GS1" t="s">
        <v>271</v>
      </c>
      <c r="GT1" t="s">
        <v>272</v>
      </c>
      <c r="GU1" t="s">
        <v>273</v>
      </c>
      <c r="GV1" t="s">
        <v>274</v>
      </c>
      <c r="GW1" t="s">
        <v>275</v>
      </c>
      <c r="GX1" t="s">
        <v>276</v>
      </c>
      <c r="GY1" t="s">
        <v>277</v>
      </c>
      <c r="GZ1" t="s">
        <v>278</v>
      </c>
      <c r="HA1" t="s">
        <v>279</v>
      </c>
      <c r="HB1" t="s">
        <v>280</v>
      </c>
      <c r="HC1" t="s">
        <v>281</v>
      </c>
      <c r="HD1" t="s">
        <v>282</v>
      </c>
      <c r="HE1" t="s">
        <v>283</v>
      </c>
      <c r="HF1" t="s">
        <v>284</v>
      </c>
      <c r="HG1" t="s">
        <v>285</v>
      </c>
      <c r="HH1" t="s">
        <v>286</v>
      </c>
      <c r="HI1" t="s">
        <v>287</v>
      </c>
      <c r="HJ1" t="s">
        <v>288</v>
      </c>
      <c r="HK1" t="s">
        <v>289</v>
      </c>
      <c r="HL1" t="s">
        <v>290</v>
      </c>
      <c r="HM1" t="s">
        <v>291</v>
      </c>
      <c r="HN1" t="s">
        <v>292</v>
      </c>
      <c r="HO1" t="s">
        <v>293</v>
      </c>
      <c r="HP1" t="s">
        <v>294</v>
      </c>
      <c r="HQ1" t="s">
        <v>295</v>
      </c>
      <c r="HR1" t="s">
        <v>296</v>
      </c>
      <c r="HS1" t="s">
        <v>297</v>
      </c>
      <c r="HT1" t="s">
        <v>298</v>
      </c>
      <c r="HU1" t="s">
        <v>299</v>
      </c>
      <c r="HV1" t="s">
        <v>300</v>
      </c>
    </row>
    <row r="2" spans="1:230" x14ac:dyDescent="0.3">
      <c r="G2">
        <v>20</v>
      </c>
      <c r="H2" t="s">
        <v>64</v>
      </c>
      <c r="I2">
        <v>6</v>
      </c>
      <c r="J2">
        <v>12</v>
      </c>
      <c r="K2">
        <v>2</v>
      </c>
      <c r="L2">
        <v>0</v>
      </c>
      <c r="M2">
        <v>20</v>
      </c>
      <c r="N2" t="s">
        <v>91</v>
      </c>
      <c r="O2" t="s">
        <v>92</v>
      </c>
      <c r="P2" t="s">
        <v>93</v>
      </c>
      <c r="Q2" t="s">
        <v>87</v>
      </c>
      <c r="R2" t="s">
        <v>94</v>
      </c>
      <c r="S2" t="s">
        <v>95</v>
      </c>
      <c r="T2" t="s">
        <v>90</v>
      </c>
      <c r="U2" t="s">
        <v>86</v>
      </c>
      <c r="V2" t="s">
        <v>88</v>
      </c>
      <c r="W2" t="s">
        <v>84</v>
      </c>
      <c r="X2" t="s">
        <v>96</v>
      </c>
      <c r="Y2" t="s">
        <v>97</v>
      </c>
      <c r="Z2" t="s">
        <v>85</v>
      </c>
      <c r="AA2" t="s">
        <v>98</v>
      </c>
      <c r="AB2" t="s">
        <v>99</v>
      </c>
      <c r="AC2" t="s">
        <v>100</v>
      </c>
      <c r="AD2" t="s">
        <v>101</v>
      </c>
      <c r="AE2" t="s">
        <v>102</v>
      </c>
      <c r="AF2" t="s">
        <v>89</v>
      </c>
      <c r="AG2" t="s">
        <v>103</v>
      </c>
    </row>
    <row r="3" spans="1:230" x14ac:dyDescent="0.3">
      <c r="G3">
        <v>20</v>
      </c>
      <c r="H3" t="s">
        <v>36</v>
      </c>
      <c r="I3">
        <v>4.666666666666667</v>
      </c>
      <c r="J3">
        <v>4.833333333333333</v>
      </c>
      <c r="K3">
        <v>7</v>
      </c>
      <c r="M3">
        <v>100</v>
      </c>
      <c r="N3">
        <v>2</v>
      </c>
      <c r="O3">
        <v>4</v>
      </c>
      <c r="P3">
        <v>6</v>
      </c>
      <c r="Q3">
        <v>8</v>
      </c>
      <c r="R3">
        <v>2</v>
      </c>
      <c r="S3">
        <v>4</v>
      </c>
      <c r="T3">
        <v>6</v>
      </c>
      <c r="U3">
        <v>8</v>
      </c>
      <c r="V3">
        <v>2</v>
      </c>
      <c r="W3">
        <v>4</v>
      </c>
      <c r="X3">
        <v>6</v>
      </c>
      <c r="Y3">
        <v>8</v>
      </c>
      <c r="Z3">
        <v>2</v>
      </c>
      <c r="AA3">
        <v>4</v>
      </c>
      <c r="AB3">
        <v>6</v>
      </c>
      <c r="AC3">
        <v>8</v>
      </c>
      <c r="AD3">
        <v>2</v>
      </c>
      <c r="AE3">
        <v>4</v>
      </c>
      <c r="AF3">
        <v>6</v>
      </c>
      <c r="AG3">
        <v>8</v>
      </c>
    </row>
    <row r="4" spans="1:230" x14ac:dyDescent="0.3">
      <c r="G4">
        <v>20</v>
      </c>
      <c r="H4" t="s">
        <v>35</v>
      </c>
      <c r="I4">
        <v>5.333333333333333</v>
      </c>
      <c r="J4">
        <v>5.333333333333333</v>
      </c>
      <c r="K4">
        <v>5.333333333333333</v>
      </c>
      <c r="L4">
        <v>5.333333333333333</v>
      </c>
      <c r="M4">
        <v>100</v>
      </c>
      <c r="N4">
        <v>1</v>
      </c>
      <c r="O4">
        <v>3</v>
      </c>
      <c r="P4">
        <v>5</v>
      </c>
      <c r="Q4">
        <v>7</v>
      </c>
      <c r="R4">
        <v>9</v>
      </c>
      <c r="S4">
        <v>1</v>
      </c>
      <c r="T4">
        <v>3</v>
      </c>
      <c r="U4">
        <v>5</v>
      </c>
      <c r="V4">
        <v>7</v>
      </c>
      <c r="W4">
        <v>9</v>
      </c>
      <c r="X4">
        <v>1</v>
      </c>
      <c r="Y4">
        <v>3</v>
      </c>
      <c r="Z4">
        <v>5</v>
      </c>
      <c r="AA4">
        <v>7</v>
      </c>
      <c r="AB4">
        <v>9</v>
      </c>
      <c r="AC4">
        <v>1</v>
      </c>
      <c r="AD4">
        <v>3</v>
      </c>
      <c r="AE4">
        <v>5</v>
      </c>
      <c r="AF4">
        <v>7</v>
      </c>
      <c r="AG4">
        <v>9</v>
      </c>
    </row>
  </sheetData>
  <autoFilter ref="A1:AB1" xr:uid="{80559723-A7EE-49EB-86F7-D0C5BFB40890}"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58</vt:i4>
      </vt:variant>
    </vt:vector>
  </HeadingPairs>
  <TitlesOfParts>
    <vt:vector size="61" baseType="lpstr">
      <vt:lpstr>Main</vt:lpstr>
      <vt:lpstr>Settings</vt:lpstr>
      <vt:lpstr>Data</vt:lpstr>
      <vt:lpstr>Main!rngBotLeft</vt:lpstr>
      <vt:lpstr>Settings!rngBotLeft</vt:lpstr>
      <vt:lpstr>rngCellSamp</vt:lpstr>
      <vt:lpstr>rngCellSampRep</vt:lpstr>
      <vt:lpstr>rngCol</vt:lpstr>
      <vt:lpstr>Data!rngCollDate</vt:lpstr>
      <vt:lpstr>rngCollDate</vt:lpstr>
      <vt:lpstr>Data!rngDataType</vt:lpstr>
      <vt:lpstr>rngItem01</vt:lpstr>
      <vt:lpstr>rngItem01Total</vt:lpstr>
      <vt:lpstr>rngItem02</vt:lpstr>
      <vt:lpstr>rngItem02Total</vt:lpstr>
      <vt:lpstr>rngLabelItem01</vt:lpstr>
      <vt:lpstr>rngLabelItem02</vt:lpstr>
      <vt:lpstr>rngLabelZone01</vt:lpstr>
      <vt:lpstr>rngLabelZone02</vt:lpstr>
      <vt:lpstr>rngLabelZone03</vt:lpstr>
      <vt:lpstr>rngLabelZone04</vt:lpstr>
      <vt:lpstr>rngParItem01Zone01</vt:lpstr>
      <vt:lpstr>rngParItem01Zone02</vt:lpstr>
      <vt:lpstr>rngParItem01Zone03</vt:lpstr>
      <vt:lpstr>rngParItem01Zone04</vt:lpstr>
      <vt:lpstr>rngParItem02Zone01</vt:lpstr>
      <vt:lpstr>rngParItem02Zone02</vt:lpstr>
      <vt:lpstr>rngParItem02Zone03</vt:lpstr>
      <vt:lpstr>rngParItem02Zone04</vt:lpstr>
      <vt:lpstr>rngParTotal</vt:lpstr>
      <vt:lpstr>Data!rngProcDate</vt:lpstr>
      <vt:lpstr>rngProcDate</vt:lpstr>
      <vt:lpstr>rngRow</vt:lpstr>
      <vt:lpstr>Data!rngSampLoc</vt:lpstr>
      <vt:lpstr>rngSampLoc</vt:lpstr>
      <vt:lpstr>Data!rngSampName</vt:lpstr>
      <vt:lpstr>rngSampName</vt:lpstr>
      <vt:lpstr>rngSampNum</vt:lpstr>
      <vt:lpstr>Data!rngSampType</vt:lpstr>
      <vt:lpstr>rngSampType</vt:lpstr>
      <vt:lpstr>Data!rngSepStage</vt:lpstr>
      <vt:lpstr>rngSepStage</vt:lpstr>
      <vt:lpstr>Data!rngSq1</vt:lpstr>
      <vt:lpstr>rngSqTotal</vt:lpstr>
      <vt:lpstr>rngSqZone01</vt:lpstr>
      <vt:lpstr>rngSqZone02</vt:lpstr>
      <vt:lpstr>rngSqZone03</vt:lpstr>
      <vt:lpstr>rngSqZone04</vt:lpstr>
      <vt:lpstr>rngTotalSampZone01</vt:lpstr>
      <vt:lpstr>rngTotalSampZone02</vt:lpstr>
      <vt:lpstr>rngTotalSampZone03</vt:lpstr>
      <vt:lpstr>rngTotalSampZone04</vt:lpstr>
      <vt:lpstr>rngZone</vt:lpstr>
      <vt:lpstr>Settings!rngZone01</vt:lpstr>
      <vt:lpstr>Settings!rngZone02</vt:lpstr>
      <vt:lpstr>Settings!rngZone03</vt:lpstr>
      <vt:lpstr>Settings!rngZone04</vt:lpstr>
      <vt:lpstr>rngZoneWeight01</vt:lpstr>
      <vt:lpstr>rngZoneWeight02</vt:lpstr>
      <vt:lpstr>rngZoneWeight03</vt:lpstr>
      <vt:lpstr>rngZoneWeight04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Stanfill</dc:creator>
  <cp:lastModifiedBy>Michael Stanfill</cp:lastModifiedBy>
  <cp:lastPrinted>2021-02-18T21:14:13Z</cp:lastPrinted>
  <dcterms:created xsi:type="dcterms:W3CDTF">2021-02-18T21:05:37Z</dcterms:created>
  <dcterms:modified xsi:type="dcterms:W3CDTF">2021-09-14T06:30:48Z</dcterms:modified>
</cp:coreProperties>
</file>